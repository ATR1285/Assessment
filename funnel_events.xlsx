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919FFAA7-63DF-478A-9260-1335EDCA5FF3}" xr6:coauthVersionLast="47" xr6:coauthVersionMax="47" xr10:uidLastSave="{00000000-0000-0000-0000-000000000000}"/>
  <bookViews>
    <workbookView xWindow="-120" yWindow="-120" windowWidth="20730" windowHeight="11040" activeTab="2" xr2:uid="{2011D210-6513-466B-9FA6-749DD56B4855}"/>
  </bookViews>
  <sheets>
    <sheet name="Sheet1" sheetId="2" r:id="rId1"/>
    <sheet name="Sheet2" sheetId="3" r:id="rId2"/>
    <sheet name="Sheet3" sheetId="4" r:id="rId3"/>
    <sheet name="Sheet4" sheetId="5" r:id="rId4"/>
    <sheet name="funnel_events_sample" sheetId="1" r:id="rId5"/>
  </sheets>
  <definedNames>
    <definedName name="_xlchart.v2.0" hidden="1">Sheet2!$A$2:$A$6</definedName>
    <definedName name="_xlchart.v2.1" hidden="1">Sheet2!$B$1</definedName>
    <definedName name="_xlchart.v2.2" hidden="1">Sheet2!$B$2:$B$6</definedName>
    <definedName name="_xlcn.WorksheetConnection_funnel_events_sample.csv.xlsxTable11" hidden="1">Table1[]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unnel_events_sample.csv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4" l="1"/>
  <c r="M5" i="4"/>
  <c r="N4" i="4"/>
  <c r="M4" i="4"/>
  <c r="N3" i="4"/>
  <c r="M3" i="4"/>
  <c r="M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" i="4"/>
  <c r="C3" i="4"/>
  <c r="D3" i="4"/>
  <c r="E3" i="4"/>
  <c r="F3" i="4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1" i="4"/>
  <c r="D31" i="4"/>
  <c r="E31" i="4"/>
  <c r="F31" i="4"/>
  <c r="C32" i="4"/>
  <c r="D32" i="4"/>
  <c r="E32" i="4"/>
  <c r="F32" i="4"/>
  <c r="C33" i="4"/>
  <c r="D33" i="4"/>
  <c r="E33" i="4"/>
  <c r="F33" i="4"/>
  <c r="C34" i="4"/>
  <c r="D34" i="4"/>
  <c r="E34" i="4"/>
  <c r="F34" i="4"/>
  <c r="C35" i="4"/>
  <c r="D35" i="4"/>
  <c r="E35" i="4"/>
  <c r="F35" i="4"/>
  <c r="C36" i="4"/>
  <c r="D36" i="4"/>
  <c r="E36" i="4"/>
  <c r="F36" i="4"/>
  <c r="C37" i="4"/>
  <c r="D37" i="4"/>
  <c r="E37" i="4"/>
  <c r="F37" i="4"/>
  <c r="C38" i="4"/>
  <c r="D38" i="4"/>
  <c r="E38" i="4"/>
  <c r="F38" i="4"/>
  <c r="C39" i="4"/>
  <c r="D39" i="4"/>
  <c r="E39" i="4"/>
  <c r="F39" i="4"/>
  <c r="C40" i="4"/>
  <c r="D40" i="4"/>
  <c r="E40" i="4"/>
  <c r="F40" i="4"/>
  <c r="C41" i="4"/>
  <c r="D41" i="4"/>
  <c r="E41" i="4"/>
  <c r="F41" i="4"/>
  <c r="C42" i="4"/>
  <c r="D42" i="4"/>
  <c r="E42" i="4"/>
  <c r="F42" i="4"/>
  <c r="C43" i="4"/>
  <c r="D43" i="4"/>
  <c r="E43" i="4"/>
  <c r="F43" i="4"/>
  <c r="C44" i="4"/>
  <c r="D44" i="4"/>
  <c r="E44" i="4"/>
  <c r="F44" i="4"/>
  <c r="C45" i="4"/>
  <c r="D45" i="4"/>
  <c r="E45" i="4"/>
  <c r="F45" i="4"/>
  <c r="C46" i="4"/>
  <c r="D46" i="4"/>
  <c r="E46" i="4"/>
  <c r="F46" i="4"/>
  <c r="C47" i="4"/>
  <c r="D47" i="4"/>
  <c r="E47" i="4"/>
  <c r="F47" i="4"/>
  <c r="C48" i="4"/>
  <c r="D48" i="4"/>
  <c r="E48" i="4"/>
  <c r="F48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4" i="4"/>
  <c r="D54" i="4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C62" i="4"/>
  <c r="D62" i="4"/>
  <c r="E62" i="4"/>
  <c r="F62" i="4"/>
  <c r="C63" i="4"/>
  <c r="D63" i="4"/>
  <c r="E63" i="4"/>
  <c r="F63" i="4"/>
  <c r="C64" i="4"/>
  <c r="D64" i="4"/>
  <c r="E64" i="4"/>
  <c r="F64" i="4"/>
  <c r="C65" i="4"/>
  <c r="D65" i="4"/>
  <c r="E65" i="4"/>
  <c r="F65" i="4"/>
  <c r="C66" i="4"/>
  <c r="D66" i="4"/>
  <c r="E66" i="4"/>
  <c r="F66" i="4"/>
  <c r="C67" i="4"/>
  <c r="D67" i="4"/>
  <c r="E67" i="4"/>
  <c r="F67" i="4"/>
  <c r="C68" i="4"/>
  <c r="D68" i="4"/>
  <c r="E68" i="4"/>
  <c r="F68" i="4"/>
  <c r="C69" i="4"/>
  <c r="D69" i="4"/>
  <c r="E69" i="4"/>
  <c r="F69" i="4"/>
  <c r="C70" i="4"/>
  <c r="D70" i="4"/>
  <c r="E70" i="4"/>
  <c r="F70" i="4"/>
  <c r="C71" i="4"/>
  <c r="D71" i="4"/>
  <c r="E71" i="4"/>
  <c r="F71" i="4"/>
  <c r="C72" i="4"/>
  <c r="D72" i="4"/>
  <c r="E72" i="4"/>
  <c r="F72" i="4"/>
  <c r="C73" i="4"/>
  <c r="D73" i="4"/>
  <c r="E73" i="4"/>
  <c r="F73" i="4"/>
  <c r="C74" i="4"/>
  <c r="D74" i="4"/>
  <c r="E74" i="4"/>
  <c r="F74" i="4"/>
  <c r="C75" i="4"/>
  <c r="D75" i="4"/>
  <c r="E75" i="4"/>
  <c r="F75" i="4"/>
  <c r="C76" i="4"/>
  <c r="D76" i="4"/>
  <c r="E76" i="4"/>
  <c r="F76" i="4"/>
  <c r="C77" i="4"/>
  <c r="D77" i="4"/>
  <c r="E77" i="4"/>
  <c r="F77" i="4"/>
  <c r="C78" i="4"/>
  <c r="D78" i="4"/>
  <c r="E78" i="4"/>
  <c r="F78" i="4"/>
  <c r="C79" i="4"/>
  <c r="D79" i="4"/>
  <c r="E79" i="4"/>
  <c r="F79" i="4"/>
  <c r="C80" i="4"/>
  <c r="D80" i="4"/>
  <c r="E80" i="4"/>
  <c r="F80" i="4"/>
  <c r="C81" i="4"/>
  <c r="D81" i="4"/>
  <c r="E81" i="4"/>
  <c r="F81" i="4"/>
  <c r="C82" i="4"/>
  <c r="D82" i="4"/>
  <c r="E82" i="4"/>
  <c r="F82" i="4"/>
  <c r="C83" i="4"/>
  <c r="D83" i="4"/>
  <c r="E83" i="4"/>
  <c r="F83" i="4"/>
  <c r="C84" i="4"/>
  <c r="D84" i="4"/>
  <c r="E84" i="4"/>
  <c r="F84" i="4"/>
  <c r="C85" i="4"/>
  <c r="D85" i="4"/>
  <c r="E85" i="4"/>
  <c r="F85" i="4"/>
  <c r="C86" i="4"/>
  <c r="D86" i="4"/>
  <c r="E86" i="4"/>
  <c r="F86" i="4"/>
  <c r="C87" i="4"/>
  <c r="D87" i="4"/>
  <c r="E87" i="4"/>
  <c r="F87" i="4"/>
  <c r="C88" i="4"/>
  <c r="D88" i="4"/>
  <c r="E88" i="4"/>
  <c r="F88" i="4"/>
  <c r="C89" i="4"/>
  <c r="D89" i="4"/>
  <c r="E89" i="4"/>
  <c r="F89" i="4"/>
  <c r="C90" i="4"/>
  <c r="D90" i="4"/>
  <c r="E90" i="4"/>
  <c r="F90" i="4"/>
  <c r="C91" i="4"/>
  <c r="D91" i="4"/>
  <c r="E91" i="4"/>
  <c r="F91" i="4"/>
  <c r="C92" i="4"/>
  <c r="D92" i="4"/>
  <c r="E92" i="4"/>
  <c r="F92" i="4"/>
  <c r="C93" i="4"/>
  <c r="D93" i="4"/>
  <c r="E93" i="4"/>
  <c r="F93" i="4"/>
  <c r="C94" i="4"/>
  <c r="D94" i="4"/>
  <c r="E94" i="4"/>
  <c r="F94" i="4"/>
  <c r="C95" i="4"/>
  <c r="D95" i="4"/>
  <c r="E95" i="4"/>
  <c r="F95" i="4"/>
  <c r="C96" i="4"/>
  <c r="D96" i="4"/>
  <c r="E96" i="4"/>
  <c r="F96" i="4"/>
  <c r="C97" i="4"/>
  <c r="D97" i="4"/>
  <c r="E97" i="4"/>
  <c r="F97" i="4"/>
  <c r="C98" i="4"/>
  <c r="D98" i="4"/>
  <c r="E98" i="4"/>
  <c r="F98" i="4"/>
  <c r="C99" i="4"/>
  <c r="D99" i="4"/>
  <c r="E99" i="4"/>
  <c r="F99" i="4"/>
  <c r="C100" i="4"/>
  <c r="D100" i="4"/>
  <c r="E100" i="4"/>
  <c r="F100" i="4"/>
  <c r="C101" i="4"/>
  <c r="D101" i="4"/>
  <c r="E101" i="4"/>
  <c r="F101" i="4"/>
  <c r="C102" i="4"/>
  <c r="D102" i="4"/>
  <c r="E102" i="4"/>
  <c r="F102" i="4"/>
  <c r="C103" i="4"/>
  <c r="D103" i="4"/>
  <c r="E103" i="4"/>
  <c r="F103" i="4"/>
  <c r="C104" i="4"/>
  <c r="D104" i="4"/>
  <c r="E104" i="4"/>
  <c r="F104" i="4"/>
  <c r="C105" i="4"/>
  <c r="D105" i="4"/>
  <c r="E105" i="4"/>
  <c r="F105" i="4"/>
  <c r="C106" i="4"/>
  <c r="D106" i="4"/>
  <c r="E106" i="4"/>
  <c r="F106" i="4"/>
  <c r="C107" i="4"/>
  <c r="D107" i="4"/>
  <c r="E107" i="4"/>
  <c r="F107" i="4"/>
  <c r="C108" i="4"/>
  <c r="D108" i="4"/>
  <c r="E108" i="4"/>
  <c r="F108" i="4"/>
  <c r="C109" i="4"/>
  <c r="D109" i="4"/>
  <c r="E109" i="4"/>
  <c r="F109" i="4"/>
  <c r="C110" i="4"/>
  <c r="D110" i="4"/>
  <c r="E110" i="4"/>
  <c r="F110" i="4"/>
  <c r="C111" i="4"/>
  <c r="D111" i="4"/>
  <c r="E111" i="4"/>
  <c r="F111" i="4"/>
  <c r="C112" i="4"/>
  <c r="D112" i="4"/>
  <c r="E112" i="4"/>
  <c r="F112" i="4"/>
  <c r="C113" i="4"/>
  <c r="D113" i="4"/>
  <c r="E113" i="4"/>
  <c r="F113" i="4"/>
  <c r="C114" i="4"/>
  <c r="D114" i="4"/>
  <c r="E114" i="4"/>
  <c r="F114" i="4"/>
  <c r="C115" i="4"/>
  <c r="D115" i="4"/>
  <c r="E115" i="4"/>
  <c r="F115" i="4"/>
  <c r="C116" i="4"/>
  <c r="D116" i="4"/>
  <c r="E116" i="4"/>
  <c r="F116" i="4"/>
  <c r="C117" i="4"/>
  <c r="D117" i="4"/>
  <c r="E117" i="4"/>
  <c r="F117" i="4"/>
  <c r="C118" i="4"/>
  <c r="D118" i="4"/>
  <c r="E118" i="4"/>
  <c r="F118" i="4"/>
  <c r="C119" i="4"/>
  <c r="D119" i="4"/>
  <c r="E119" i="4"/>
  <c r="F119" i="4"/>
  <c r="C120" i="4"/>
  <c r="D120" i="4"/>
  <c r="E120" i="4"/>
  <c r="F120" i="4"/>
  <c r="C121" i="4"/>
  <c r="D121" i="4"/>
  <c r="E121" i="4"/>
  <c r="F121" i="4"/>
  <c r="C122" i="4"/>
  <c r="D122" i="4"/>
  <c r="E122" i="4"/>
  <c r="F122" i="4"/>
  <c r="C123" i="4"/>
  <c r="D123" i="4"/>
  <c r="E123" i="4"/>
  <c r="F123" i="4"/>
  <c r="C124" i="4"/>
  <c r="D124" i="4"/>
  <c r="E124" i="4"/>
  <c r="F124" i="4"/>
  <c r="C125" i="4"/>
  <c r="D125" i="4"/>
  <c r="E125" i="4"/>
  <c r="F125" i="4"/>
  <c r="C126" i="4"/>
  <c r="D126" i="4"/>
  <c r="E126" i="4"/>
  <c r="F126" i="4"/>
  <c r="C127" i="4"/>
  <c r="D127" i="4"/>
  <c r="E127" i="4"/>
  <c r="F127" i="4"/>
  <c r="C128" i="4"/>
  <c r="D128" i="4"/>
  <c r="E128" i="4"/>
  <c r="F128" i="4"/>
  <c r="C129" i="4"/>
  <c r="D129" i="4"/>
  <c r="E129" i="4"/>
  <c r="F129" i="4"/>
  <c r="C130" i="4"/>
  <c r="D130" i="4"/>
  <c r="E130" i="4"/>
  <c r="F130" i="4"/>
  <c r="C131" i="4"/>
  <c r="D131" i="4"/>
  <c r="E131" i="4"/>
  <c r="F131" i="4"/>
  <c r="C132" i="4"/>
  <c r="D132" i="4"/>
  <c r="E132" i="4"/>
  <c r="F132" i="4"/>
  <c r="C133" i="4"/>
  <c r="D133" i="4"/>
  <c r="E133" i="4"/>
  <c r="F133" i="4"/>
  <c r="C134" i="4"/>
  <c r="D134" i="4"/>
  <c r="E134" i="4"/>
  <c r="F134" i="4"/>
  <c r="C135" i="4"/>
  <c r="D135" i="4"/>
  <c r="E135" i="4"/>
  <c r="F135" i="4"/>
  <c r="C136" i="4"/>
  <c r="D136" i="4"/>
  <c r="E136" i="4"/>
  <c r="F136" i="4"/>
  <c r="C137" i="4"/>
  <c r="D137" i="4"/>
  <c r="E137" i="4"/>
  <c r="F137" i="4"/>
  <c r="C138" i="4"/>
  <c r="D138" i="4"/>
  <c r="E138" i="4"/>
  <c r="F138" i="4"/>
  <c r="C139" i="4"/>
  <c r="D139" i="4"/>
  <c r="E139" i="4"/>
  <c r="F139" i="4"/>
  <c r="C140" i="4"/>
  <c r="D140" i="4"/>
  <c r="E140" i="4"/>
  <c r="F140" i="4"/>
  <c r="C141" i="4"/>
  <c r="D141" i="4"/>
  <c r="E141" i="4"/>
  <c r="F141" i="4"/>
  <c r="C142" i="4"/>
  <c r="D142" i="4"/>
  <c r="E142" i="4"/>
  <c r="F142" i="4"/>
  <c r="C143" i="4"/>
  <c r="D143" i="4"/>
  <c r="E143" i="4"/>
  <c r="F143" i="4"/>
  <c r="C144" i="4"/>
  <c r="D144" i="4"/>
  <c r="E144" i="4"/>
  <c r="F144" i="4"/>
  <c r="C145" i="4"/>
  <c r="D145" i="4"/>
  <c r="E145" i="4"/>
  <c r="F145" i="4"/>
  <c r="C146" i="4"/>
  <c r="D146" i="4"/>
  <c r="E146" i="4"/>
  <c r="F146" i="4"/>
  <c r="C147" i="4"/>
  <c r="D147" i="4"/>
  <c r="E147" i="4"/>
  <c r="F147" i="4"/>
  <c r="C148" i="4"/>
  <c r="D148" i="4"/>
  <c r="E148" i="4"/>
  <c r="F148" i="4"/>
  <c r="C149" i="4"/>
  <c r="D149" i="4"/>
  <c r="E149" i="4"/>
  <c r="F149" i="4"/>
  <c r="C150" i="4"/>
  <c r="D150" i="4"/>
  <c r="E150" i="4"/>
  <c r="F150" i="4"/>
  <c r="C151" i="4"/>
  <c r="D151" i="4"/>
  <c r="E151" i="4"/>
  <c r="F151" i="4"/>
  <c r="C152" i="4"/>
  <c r="D152" i="4"/>
  <c r="E152" i="4"/>
  <c r="F152" i="4"/>
  <c r="C153" i="4"/>
  <c r="D153" i="4"/>
  <c r="E153" i="4"/>
  <c r="F153" i="4"/>
  <c r="C154" i="4"/>
  <c r="D154" i="4"/>
  <c r="E154" i="4"/>
  <c r="F154" i="4"/>
  <c r="C155" i="4"/>
  <c r="D155" i="4"/>
  <c r="E155" i="4"/>
  <c r="F155" i="4"/>
  <c r="C156" i="4"/>
  <c r="D156" i="4"/>
  <c r="E156" i="4"/>
  <c r="F156" i="4"/>
  <c r="C157" i="4"/>
  <c r="D157" i="4"/>
  <c r="E157" i="4"/>
  <c r="F157" i="4"/>
  <c r="C158" i="4"/>
  <c r="D158" i="4"/>
  <c r="E158" i="4"/>
  <c r="F158" i="4"/>
  <c r="C159" i="4"/>
  <c r="D159" i="4"/>
  <c r="E159" i="4"/>
  <c r="F159" i="4"/>
  <c r="C160" i="4"/>
  <c r="D160" i="4"/>
  <c r="E160" i="4"/>
  <c r="F160" i="4"/>
  <c r="C161" i="4"/>
  <c r="D161" i="4"/>
  <c r="E161" i="4"/>
  <c r="F161" i="4"/>
  <c r="C162" i="4"/>
  <c r="D162" i="4"/>
  <c r="E162" i="4"/>
  <c r="F162" i="4"/>
  <c r="C163" i="4"/>
  <c r="D163" i="4"/>
  <c r="E163" i="4"/>
  <c r="F163" i="4"/>
  <c r="C164" i="4"/>
  <c r="D164" i="4"/>
  <c r="E164" i="4"/>
  <c r="F164" i="4"/>
  <c r="C165" i="4"/>
  <c r="D165" i="4"/>
  <c r="E165" i="4"/>
  <c r="F165" i="4"/>
  <c r="C166" i="4"/>
  <c r="D166" i="4"/>
  <c r="E166" i="4"/>
  <c r="F166" i="4"/>
  <c r="C167" i="4"/>
  <c r="D167" i="4"/>
  <c r="E167" i="4"/>
  <c r="F167" i="4"/>
  <c r="C168" i="4"/>
  <c r="D168" i="4"/>
  <c r="E168" i="4"/>
  <c r="F168" i="4"/>
  <c r="C169" i="4"/>
  <c r="D169" i="4"/>
  <c r="E169" i="4"/>
  <c r="F169" i="4"/>
  <c r="C170" i="4"/>
  <c r="D170" i="4"/>
  <c r="E170" i="4"/>
  <c r="F170" i="4"/>
  <c r="C171" i="4"/>
  <c r="D171" i="4"/>
  <c r="E171" i="4"/>
  <c r="F171" i="4"/>
  <c r="C172" i="4"/>
  <c r="D172" i="4"/>
  <c r="E172" i="4"/>
  <c r="F172" i="4"/>
  <c r="C173" i="4"/>
  <c r="D173" i="4"/>
  <c r="E173" i="4"/>
  <c r="F173" i="4"/>
  <c r="C174" i="4"/>
  <c r="D174" i="4"/>
  <c r="E174" i="4"/>
  <c r="F174" i="4"/>
  <c r="C175" i="4"/>
  <c r="D175" i="4"/>
  <c r="E175" i="4"/>
  <c r="F175" i="4"/>
  <c r="C176" i="4"/>
  <c r="D176" i="4"/>
  <c r="E176" i="4"/>
  <c r="F176" i="4"/>
  <c r="C177" i="4"/>
  <c r="D177" i="4"/>
  <c r="E177" i="4"/>
  <c r="F177" i="4"/>
  <c r="C178" i="4"/>
  <c r="D178" i="4"/>
  <c r="E178" i="4"/>
  <c r="F178" i="4"/>
  <c r="C179" i="4"/>
  <c r="D179" i="4"/>
  <c r="E179" i="4"/>
  <c r="F179" i="4"/>
  <c r="C180" i="4"/>
  <c r="D180" i="4"/>
  <c r="E180" i="4"/>
  <c r="F180" i="4"/>
  <c r="C181" i="4"/>
  <c r="D181" i="4"/>
  <c r="E181" i="4"/>
  <c r="F181" i="4"/>
  <c r="C182" i="4"/>
  <c r="D182" i="4"/>
  <c r="E182" i="4"/>
  <c r="F182" i="4"/>
  <c r="C183" i="4"/>
  <c r="D183" i="4"/>
  <c r="E183" i="4"/>
  <c r="F183" i="4"/>
  <c r="C184" i="4"/>
  <c r="D184" i="4"/>
  <c r="E184" i="4"/>
  <c r="F184" i="4"/>
  <c r="C185" i="4"/>
  <c r="D185" i="4"/>
  <c r="E185" i="4"/>
  <c r="F185" i="4"/>
  <c r="C186" i="4"/>
  <c r="D186" i="4"/>
  <c r="E186" i="4"/>
  <c r="F186" i="4"/>
  <c r="C187" i="4"/>
  <c r="D187" i="4"/>
  <c r="E187" i="4"/>
  <c r="F187" i="4"/>
  <c r="C188" i="4"/>
  <c r="D188" i="4"/>
  <c r="E188" i="4"/>
  <c r="F188" i="4"/>
  <c r="C189" i="4"/>
  <c r="D189" i="4"/>
  <c r="E189" i="4"/>
  <c r="F189" i="4"/>
  <c r="C190" i="4"/>
  <c r="D190" i="4"/>
  <c r="E190" i="4"/>
  <c r="F190" i="4"/>
  <c r="C191" i="4"/>
  <c r="D191" i="4"/>
  <c r="E191" i="4"/>
  <c r="F191" i="4"/>
  <c r="C192" i="4"/>
  <c r="D192" i="4"/>
  <c r="E192" i="4"/>
  <c r="F192" i="4"/>
  <c r="C193" i="4"/>
  <c r="D193" i="4"/>
  <c r="E193" i="4"/>
  <c r="F193" i="4"/>
  <c r="C194" i="4"/>
  <c r="D194" i="4"/>
  <c r="E194" i="4"/>
  <c r="F194" i="4"/>
  <c r="C195" i="4"/>
  <c r="D195" i="4"/>
  <c r="E195" i="4"/>
  <c r="F195" i="4"/>
  <c r="C196" i="4"/>
  <c r="D196" i="4"/>
  <c r="E196" i="4"/>
  <c r="F196" i="4"/>
  <c r="C197" i="4"/>
  <c r="D197" i="4"/>
  <c r="E197" i="4"/>
  <c r="F197" i="4"/>
  <c r="C198" i="4"/>
  <c r="D198" i="4"/>
  <c r="E198" i="4"/>
  <c r="F198" i="4"/>
  <c r="C199" i="4"/>
  <c r="D199" i="4"/>
  <c r="E199" i="4"/>
  <c r="F199" i="4"/>
  <c r="C200" i="4"/>
  <c r="D200" i="4"/>
  <c r="E200" i="4"/>
  <c r="F200" i="4"/>
  <c r="C201" i="4"/>
  <c r="D201" i="4"/>
  <c r="E201" i="4"/>
  <c r="F201" i="4"/>
  <c r="C202" i="4"/>
  <c r="D202" i="4"/>
  <c r="E202" i="4"/>
  <c r="F202" i="4"/>
  <c r="C203" i="4"/>
  <c r="D203" i="4"/>
  <c r="E203" i="4"/>
  <c r="F20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" i="4"/>
  <c r="E2" i="4"/>
  <c r="D2" i="4"/>
  <c r="C2" i="4"/>
  <c r="B2" i="4"/>
  <c r="B5" i="3"/>
  <c r="B2" i="3"/>
  <c r="B6" i="3"/>
  <c r="B4" i="3"/>
  <c r="B3" i="3"/>
  <c r="C3" i="3" l="1"/>
  <c r="D4" i="3"/>
  <c r="E4" i="3" s="1"/>
  <c r="D5" i="3"/>
  <c r="E5" i="3" s="1"/>
  <c r="C4" i="3"/>
  <c r="C6" i="3"/>
  <c r="D3" i="3"/>
  <c r="E3" i="3" s="1"/>
  <c r="C5" i="3"/>
  <c r="D6" i="3"/>
  <c r="E6" i="3" s="1"/>
  <c r="I2" i="3" l="1"/>
  <c r="G5" i="3" s="1"/>
  <c r="G2" i="3"/>
  <c r="N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9853B-270C-40E8-8D42-0173CB504D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0ECBDE7-A63B-4581-BB2A-C40A30EDF76D}" name="WorksheetConnection_funnel_events_sample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unnel_events_sample.csv.xlsxTable11"/>
        </x15:connection>
      </ext>
    </extLst>
  </connection>
</connections>
</file>

<file path=xl/sharedStrings.xml><?xml version="1.0" encoding="utf-8"?>
<sst xmlns="http://schemas.openxmlformats.org/spreadsheetml/2006/main" count="1527" uniqueCount="229">
  <si>
    <t>user_id</t>
  </si>
  <si>
    <t>step</t>
  </si>
  <si>
    <t>timestamp</t>
  </si>
  <si>
    <t>U110</t>
  </si>
  <si>
    <t>signup_started</t>
  </si>
  <si>
    <t>U141</t>
  </si>
  <si>
    <t>visited_site</t>
  </si>
  <si>
    <t>U072</t>
  </si>
  <si>
    <t>U051</t>
  </si>
  <si>
    <t>U066</t>
  </si>
  <si>
    <t>U005</t>
  </si>
  <si>
    <t>U077</t>
  </si>
  <si>
    <t>U185</t>
  </si>
  <si>
    <t>U071</t>
  </si>
  <si>
    <t>U014</t>
  </si>
  <si>
    <t>U052</t>
  </si>
  <si>
    <t>U041</t>
  </si>
  <si>
    <t>U170</t>
  </si>
  <si>
    <t>U007</t>
  </si>
  <si>
    <t>U024</t>
  </si>
  <si>
    <t>U059</t>
  </si>
  <si>
    <t>U176</t>
  </si>
  <si>
    <t>U025</t>
  </si>
  <si>
    <t>U159</t>
  </si>
  <si>
    <t>U045</t>
  </si>
  <si>
    <t>U166</t>
  </si>
  <si>
    <t>U033</t>
  </si>
  <si>
    <t>U136</t>
  </si>
  <si>
    <t>U013</t>
  </si>
  <si>
    <t>U105</t>
  </si>
  <si>
    <t>U093</t>
  </si>
  <si>
    <t>U034</t>
  </si>
  <si>
    <t>U156</t>
  </si>
  <si>
    <t>details_filled</t>
  </si>
  <si>
    <t>U012</t>
  </si>
  <si>
    <t>U134</t>
  </si>
  <si>
    <t>purchase_completed</t>
  </si>
  <si>
    <t>U138</t>
  </si>
  <si>
    <t>U092</t>
  </si>
  <si>
    <t>U133</t>
  </si>
  <si>
    <t>U027</t>
  </si>
  <si>
    <t>U187</t>
  </si>
  <si>
    <t>U088</t>
  </si>
  <si>
    <t>U135</t>
  </si>
  <si>
    <t>U016</t>
  </si>
  <si>
    <t>U154</t>
  </si>
  <si>
    <t>U030</t>
  </si>
  <si>
    <t>U073</t>
  </si>
  <si>
    <t>U090</t>
  </si>
  <si>
    <t>U125</t>
  </si>
  <si>
    <t>U050</t>
  </si>
  <si>
    <t>U054</t>
  </si>
  <si>
    <t>U046</t>
  </si>
  <si>
    <t>U002</t>
  </si>
  <si>
    <t>U192</t>
  </si>
  <si>
    <t>U076</t>
  </si>
  <si>
    <t>U032</t>
  </si>
  <si>
    <t>U031</t>
  </si>
  <si>
    <t>U164</t>
  </si>
  <si>
    <t>U006</t>
  </si>
  <si>
    <t>U029</t>
  </si>
  <si>
    <t>U140</t>
  </si>
  <si>
    <t>U162</t>
  </si>
  <si>
    <t>U017</t>
  </si>
  <si>
    <t>U022</t>
  </si>
  <si>
    <t>U011</t>
  </si>
  <si>
    <t>U113</t>
  </si>
  <si>
    <t>U158</t>
  </si>
  <si>
    <t>U079</t>
  </si>
  <si>
    <t>email_verified</t>
  </si>
  <si>
    <t>U019</t>
  </si>
  <si>
    <t>U196</t>
  </si>
  <si>
    <t>U153</t>
  </si>
  <si>
    <t>U009</t>
  </si>
  <si>
    <t>U010</t>
  </si>
  <si>
    <t>U097</t>
  </si>
  <si>
    <t>U122</t>
  </si>
  <si>
    <t>U098</t>
  </si>
  <si>
    <t>U035</t>
  </si>
  <si>
    <t>U095</t>
  </si>
  <si>
    <t>U101</t>
  </si>
  <si>
    <t>U172</t>
  </si>
  <si>
    <t>U117</t>
  </si>
  <si>
    <t>U003</t>
  </si>
  <si>
    <t>U193</t>
  </si>
  <si>
    <t>U004</t>
  </si>
  <si>
    <t>U169</t>
  </si>
  <si>
    <t>U120</t>
  </si>
  <si>
    <t>U112</t>
  </si>
  <si>
    <t>U181</t>
  </si>
  <si>
    <t>U103</t>
  </si>
  <si>
    <t>U145</t>
  </si>
  <si>
    <t>U114</t>
  </si>
  <si>
    <t>U200</t>
  </si>
  <si>
    <t>U121</t>
  </si>
  <si>
    <t>U182</t>
  </si>
  <si>
    <t>U163</t>
  </si>
  <si>
    <t>U143</t>
  </si>
  <si>
    <t>U062</t>
  </si>
  <si>
    <t>U180</t>
  </si>
  <si>
    <t>U168</t>
  </si>
  <si>
    <t>U040</t>
  </si>
  <si>
    <t>U048</t>
  </si>
  <si>
    <t>U015</t>
  </si>
  <si>
    <t>U068</t>
  </si>
  <si>
    <t>U132</t>
  </si>
  <si>
    <t>U070</t>
  </si>
  <si>
    <t>U104</t>
  </si>
  <si>
    <t>U118</t>
  </si>
  <si>
    <t>U067</t>
  </si>
  <si>
    <t>U184</t>
  </si>
  <si>
    <t>U057</t>
  </si>
  <si>
    <t>U150</t>
  </si>
  <si>
    <t>U137</t>
  </si>
  <si>
    <t>U123</t>
  </si>
  <si>
    <t>U047</t>
  </si>
  <si>
    <t>U020</t>
  </si>
  <si>
    <t>U188</t>
  </si>
  <si>
    <t>U148</t>
  </si>
  <si>
    <t>U102</t>
  </si>
  <si>
    <t>U080</t>
  </si>
  <si>
    <t>U147</t>
  </si>
  <si>
    <t>U116</t>
  </si>
  <si>
    <t>U115</t>
  </si>
  <si>
    <t>U128</t>
  </si>
  <si>
    <t>U144</t>
  </si>
  <si>
    <t>U023</t>
  </si>
  <si>
    <t>U075</t>
  </si>
  <si>
    <t>U036</t>
  </si>
  <si>
    <t>U127</t>
  </si>
  <si>
    <t>U177</t>
  </si>
  <si>
    <t>U085</t>
  </si>
  <si>
    <t>U091</t>
  </si>
  <si>
    <t>U021</t>
  </si>
  <si>
    <t>U086</t>
  </si>
  <si>
    <t>U119</t>
  </si>
  <si>
    <t>U081</t>
  </si>
  <si>
    <t>U063</t>
  </si>
  <si>
    <t>U043</t>
  </si>
  <si>
    <t>U152</t>
  </si>
  <si>
    <t>U190</t>
  </si>
  <si>
    <t>U082</t>
  </si>
  <si>
    <t>U160</t>
  </si>
  <si>
    <t>U055</t>
  </si>
  <si>
    <t>U175</t>
  </si>
  <si>
    <t>U161</t>
  </si>
  <si>
    <t>U044</t>
  </si>
  <si>
    <t>U099</t>
  </si>
  <si>
    <t>U060</t>
  </si>
  <si>
    <t>U087</t>
  </si>
  <si>
    <t>U069</t>
  </si>
  <si>
    <t>U042</t>
  </si>
  <si>
    <t>U028</t>
  </si>
  <si>
    <t>U089</t>
  </si>
  <si>
    <t>U064</t>
  </si>
  <si>
    <t>U053</t>
  </si>
  <si>
    <t>U139</t>
  </si>
  <si>
    <t>U100</t>
  </si>
  <si>
    <t>U199</t>
  </si>
  <si>
    <t>U151</t>
  </si>
  <si>
    <t>U171</t>
  </si>
  <si>
    <t>U106</t>
  </si>
  <si>
    <t>U026</t>
  </si>
  <si>
    <t>U074</t>
  </si>
  <si>
    <t>U096</t>
  </si>
  <si>
    <t>U124</t>
  </si>
  <si>
    <t>U049</t>
  </si>
  <si>
    <t>U078</t>
  </si>
  <si>
    <t>U155</t>
  </si>
  <si>
    <t>U111</t>
  </si>
  <si>
    <t>U039</t>
  </si>
  <si>
    <t>U056</t>
  </si>
  <si>
    <t>U165</t>
  </si>
  <si>
    <t>U167</t>
  </si>
  <si>
    <t>U037</t>
  </si>
  <si>
    <t>U107</t>
  </si>
  <si>
    <t>U109</t>
  </si>
  <si>
    <t>U126</t>
  </si>
  <si>
    <t>U149</t>
  </si>
  <si>
    <t>U173</t>
  </si>
  <si>
    <t>U008</t>
  </si>
  <si>
    <t>U183</t>
  </si>
  <si>
    <t>U084</t>
  </si>
  <si>
    <t>U191</t>
  </si>
  <si>
    <t>U083</t>
  </si>
  <si>
    <t>U094</t>
  </si>
  <si>
    <t>U186</t>
  </si>
  <si>
    <t>U018</t>
  </si>
  <si>
    <t>U001</t>
  </si>
  <si>
    <t>U179</t>
  </si>
  <si>
    <t>U108</t>
  </si>
  <si>
    <t>U058</t>
  </si>
  <si>
    <t>U038</t>
  </si>
  <si>
    <t>U065</t>
  </si>
  <si>
    <t>U131</t>
  </si>
  <si>
    <t>U189</t>
  </si>
  <si>
    <t>U157</t>
  </si>
  <si>
    <t>U129</t>
  </si>
  <si>
    <t>U061</t>
  </si>
  <si>
    <t>U146</t>
  </si>
  <si>
    <t>U195</t>
  </si>
  <si>
    <t>U130</t>
  </si>
  <si>
    <t>U142</t>
  </si>
  <si>
    <t>U198</t>
  </si>
  <si>
    <t>U178</t>
  </si>
  <si>
    <t>U194</t>
  </si>
  <si>
    <t>U197</t>
  </si>
  <si>
    <t>U174</t>
  </si>
  <si>
    <t>Row Labels</t>
  </si>
  <si>
    <t>Grand Total</t>
  </si>
  <si>
    <t>Distinct Count of user_id</t>
  </si>
  <si>
    <t>Stage</t>
  </si>
  <si>
    <t>Unique Users</t>
  </si>
  <si>
    <t>Conversion Rate</t>
  </si>
  <si>
    <t>Users Lost</t>
  </si>
  <si>
    <t>Biggest Drop off Stage</t>
  </si>
  <si>
    <t>Drop off Rate</t>
  </si>
  <si>
    <t>Key Insight</t>
  </si>
  <si>
    <t>User ID</t>
  </si>
  <si>
    <t>Visited Site</t>
  </si>
  <si>
    <t>Signup Started</t>
  </si>
  <si>
    <t>Details Filled</t>
  </si>
  <si>
    <t>Visit -&gt; Signup</t>
  </si>
  <si>
    <t>Signup -&gt; Details</t>
  </si>
  <si>
    <t>Details -&gt; Email</t>
  </si>
  <si>
    <t>Email -&gt;Purchase</t>
  </si>
  <si>
    <t>Transition</t>
  </si>
  <si>
    <t>Average Time</t>
  </si>
  <si>
    <t>Valid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</si>
</sst>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1" applyNumberFormat="1" applyFont="1"/>
    <xf numFmtId="0" fontId="18" fillId="0" borderId="0" xfId="0" applyFont="1" applyAlignment="1">
      <alignment horizontal="left" vertical="center" indent="1"/>
    </xf>
    <xf numFmtId="10" fontId="0" fillId="0" borderId="0" xfId="0" applyNumberFormat="1"/>
    <xf numFmtId="0" fontId="0" fillId="0" borderId="0" xfId="0" applyAlignment="1">
      <alignment vertical="center" wrapText="1"/>
    </xf>
    <xf numFmtId="20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/>
        <i val="0"/>
      </font>
      <fill>
        <patternFill patternType="solid">
          <bgColor theme="5" tint="-0.24994659260841701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[funnel_events_sample (version 1).xlsx]Sheet1!PivotTable1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details_filled</c:v>
                </c:pt>
                <c:pt idx="1">
                  <c:v>email_verified</c:v>
                </c:pt>
                <c:pt idx="2">
                  <c:v>purchase_completed</c:v>
                </c:pt>
                <c:pt idx="3">
                  <c:v>signup_started</c:v>
                </c:pt>
                <c:pt idx="4">
                  <c:v>visited_site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96</c:v>
                </c:pt>
                <c:pt idx="1">
                  <c:v>52</c:v>
                </c:pt>
                <c:pt idx="2">
                  <c:v>44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B-474F-B9B0-D7C0228E8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834079"/>
        <c:axId val="1564840799"/>
      </c:barChart>
      <c:catAx>
        <c:axId val="156483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40799"/>
        <c:crosses val="autoZero"/>
        <c:auto val="1"/>
        <c:lblAlgn val="ctr"/>
        <c:lblOffset val="100"/>
        <c:noMultiLvlLbl val="0"/>
      </c:catAx>
      <c:valAx>
        <c:axId val="15648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3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[funnel_events_sample (version 1).xlsx]Sheet4!PivotTable6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836479"/>
        <c:axId val="1564837919"/>
      </c:barChart>
      <c:catAx>
        <c:axId val="1564836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37919"/>
        <c:crosses val="autoZero"/>
        <c:auto val="1"/>
        <c:lblAlgn val="ctr"/>
        <c:lblOffset val="100"/>
        <c:noMultiLvlLbl val="0"/>
      </c:catAx>
      <c:valAx>
        <c:axId val="15648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3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defRPr>
            </a:pPr>
            <a:r>
              <a:rPr lang="en-IN"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a:rPr>
              <a:t>Signup to Purchase Conversion Funnel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endParaRPr>
          </a:p>
        </cx:rich>
      </cx:tx>
    </cx:title>
    <cx:plotArea>
      <cx:plotAreaRegion>
        <cx:series layoutId="funnel" uniqueId="{D652F1FD-DDA5-4B30-9C6F-65FADCAB2BD5}">
          <cx:tx>
            <cx:txData>
              <cx:f>_xlchart.v2.1</cx:f>
              <cx:v>Unique Users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83893</xdr:rowOff>
    </xdr:from>
    <xdr:to>
      <xdr:col>10</xdr:col>
      <xdr:colOff>569296</xdr:colOff>
      <xdr:row>25</xdr:row>
      <xdr:rowOff>102577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D4D74-7B44-2347-C924-A2A273F0F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166687</xdr:rowOff>
    </xdr:from>
    <xdr:to>
      <xdr:col>5</xdr:col>
      <xdr:colOff>209550</xdr:colOff>
      <xdr:row>21</xdr:row>
      <xdr:rowOff>52387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5E07D1B-DFD5-D660-0988-48620981D7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09687"/>
              <a:ext cx="48958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4093D-FECA-F23D-0F3A-6748FE62D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29.455520833333" backgroundQuery="1" createdVersion="8" refreshedVersion="8" minRefreshableVersion="3" recordCount="0" supportSubquery="1" supportAdvancedDrill="1" xr:uid="{3758DAC6-5A6E-49B3-943E-B899370609AD}">
  <cacheSource type="external" connectionId="1"/>
  <cacheFields count="2">
    <cacheField name="[Table1].[step].[step]" caption="step" numFmtId="0" hierarchy="1" level="1">
      <sharedItems count="5">
        <s v="details_filled"/>
        <s v="email_verified"/>
        <s v="purchase_completed"/>
        <s v="signup_started"/>
        <s v="visited_site"/>
      </sharedItems>
    </cacheField>
    <cacheField name="[Measures].[Distinct Count of user_id]" caption="Distinct Count of user_id" numFmtId="0" hierarchy="6" level="32767"/>
  </cacheFields>
  <cacheHierarchies count="7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step]" caption="step" attribute="1" defaultMemberUniqueName="[Table1].[step].[All]" allUniqueName="[Table1].[ste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imestamp]" caption="timestamp" attribute="1" time="1" defaultMemberUniqueName="[Table1].[timestamp].[All]" allUniqueName="[Table1].[timestamp].[All]" dimensionUniqueName="[Table1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29.48735787037" createdVersion="8" refreshedVersion="8" minRefreshableVersion="3" recordCount="542" xr:uid="{8AE4F9CC-ECCA-456D-AEF3-762665A53B0B}">
  <cacheSource type="worksheet">
    <worksheetSource name="Table1"/>
  </cacheSource>
  <cacheFields count="3">
    <cacheField name="user_id" numFmtId="0">
      <sharedItems count="200">
        <s v="U110"/>
        <s v="U141"/>
        <s v="U072"/>
        <s v="U051"/>
        <s v="U066"/>
        <s v="U005"/>
        <s v="U077"/>
        <s v="U185"/>
        <s v="U071"/>
        <s v="U014"/>
        <s v="U052"/>
        <s v="U041"/>
        <s v="U170"/>
        <s v="U007"/>
        <s v="U024"/>
        <s v="U059"/>
        <s v="U176"/>
        <s v="U025"/>
        <s v="U159"/>
        <s v="U045"/>
        <s v="U166"/>
        <s v="U033"/>
        <s v="U136"/>
        <s v="U013"/>
        <s v="U105"/>
        <s v="U093"/>
        <s v="U034"/>
        <s v="U156"/>
        <s v="U012"/>
        <s v="U134"/>
        <s v="U138"/>
        <s v="U092"/>
        <s v="U133"/>
        <s v="U027"/>
        <s v="U187"/>
        <s v="U088"/>
        <s v="U135"/>
        <s v="U016"/>
        <s v="U154"/>
        <s v="U030"/>
        <s v="U073"/>
        <s v="U090"/>
        <s v="U125"/>
        <s v="U050"/>
        <s v="U054"/>
        <s v="U046"/>
        <s v="U002"/>
        <s v="U192"/>
        <s v="U076"/>
        <s v="U032"/>
        <s v="U031"/>
        <s v="U164"/>
        <s v="U006"/>
        <s v="U029"/>
        <s v="U140"/>
        <s v="U162"/>
        <s v="U017"/>
        <s v="U022"/>
        <s v="U011"/>
        <s v="U113"/>
        <s v="U158"/>
        <s v="U079"/>
        <s v="U019"/>
        <s v="U196"/>
        <s v="U153"/>
        <s v="U009"/>
        <s v="U010"/>
        <s v="U097"/>
        <s v="U122"/>
        <s v="U098"/>
        <s v="U035"/>
        <s v="U095"/>
        <s v="U101"/>
        <s v="U172"/>
        <s v="U117"/>
        <s v="U003"/>
        <s v="U193"/>
        <s v="U004"/>
        <s v="U169"/>
        <s v="U120"/>
        <s v="U112"/>
        <s v="U181"/>
        <s v="U103"/>
        <s v="U145"/>
        <s v="U114"/>
        <s v="U200"/>
        <s v="U121"/>
        <s v="U182"/>
        <s v="U163"/>
        <s v="U143"/>
        <s v="U062"/>
        <s v="U180"/>
        <s v="U168"/>
        <s v="U040"/>
        <s v="U048"/>
        <s v="U015"/>
        <s v="U068"/>
        <s v="U132"/>
        <s v="U070"/>
        <s v="U104"/>
        <s v="U118"/>
        <s v="U067"/>
        <s v="U184"/>
        <s v="U057"/>
        <s v="U150"/>
        <s v="U137"/>
        <s v="U123"/>
        <s v="U047"/>
        <s v="U020"/>
        <s v="U188"/>
        <s v="U148"/>
        <s v="U102"/>
        <s v="U080"/>
        <s v="U147"/>
        <s v="U116"/>
        <s v="U115"/>
        <s v="U128"/>
        <s v="U144"/>
        <s v="U023"/>
        <s v="U075"/>
        <s v="U036"/>
        <s v="U127"/>
        <s v="U177"/>
        <s v="U085"/>
        <s v="U091"/>
        <s v="U021"/>
        <s v="U086"/>
        <s v="U119"/>
        <s v="U081"/>
        <s v="U063"/>
        <s v="U043"/>
        <s v="U152"/>
        <s v="U190"/>
        <s v="U082"/>
        <s v="U160"/>
        <s v="U055"/>
        <s v="U175"/>
        <s v="U161"/>
        <s v="U044"/>
        <s v="U099"/>
        <s v="U060"/>
        <s v="U087"/>
        <s v="U069"/>
        <s v="U042"/>
        <s v="U028"/>
        <s v="U089"/>
        <s v="U064"/>
        <s v="U053"/>
        <s v="U139"/>
        <s v="U100"/>
        <s v="U199"/>
        <s v="U151"/>
        <s v="U171"/>
        <s v="U106"/>
        <s v="U026"/>
        <s v="U074"/>
        <s v="U096"/>
        <s v="U124"/>
        <s v="U049"/>
        <s v="U078"/>
        <s v="U155"/>
        <s v="U111"/>
        <s v="U039"/>
        <s v="U056"/>
        <s v="U165"/>
        <s v="U167"/>
        <s v="U037"/>
        <s v="U107"/>
        <s v="U109"/>
        <s v="U126"/>
        <s v="U149"/>
        <s v="U173"/>
        <s v="U008"/>
        <s v="U183"/>
        <s v="U084"/>
        <s v="U191"/>
        <s v="U083"/>
        <s v="U094"/>
        <s v="U186"/>
        <s v="U018"/>
        <s v="U001"/>
        <s v="U179"/>
        <s v="U108"/>
        <s v="U058"/>
        <s v="U038"/>
        <s v="U065"/>
        <s v="U131"/>
        <s v="U189"/>
        <s v="U157"/>
        <s v="U129"/>
        <s v="U061"/>
        <s v="U146"/>
        <s v="U195"/>
        <s v="U130"/>
        <s v="U142"/>
        <s v="U198"/>
        <s v="U178"/>
        <s v="U194"/>
        <s v="U197"/>
        <s v="U174"/>
      </sharedItems>
    </cacheField>
    <cacheField name="step" numFmtId="0">
      <sharedItems/>
    </cacheField>
    <cacheField name="timestamp" numFmtId="22">
      <sharedItems containsSemiMixedTypes="0" containsNonDate="0" containsDate="1" containsString="0" minDate="2026-07-20T03:30:00" maxDate="2026-07-20T05:09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s v="signup_started"/>
    <d v="2026-07-20T04:21:00"/>
  </r>
  <r>
    <x v="1"/>
    <s v="visited_site"/>
    <d v="2026-07-20T03:48:00"/>
  </r>
  <r>
    <x v="2"/>
    <s v="visited_site"/>
    <d v="2026-07-20T03:47:00"/>
  </r>
  <r>
    <x v="3"/>
    <s v="signup_started"/>
    <d v="2026-07-20T03:54:00"/>
  </r>
  <r>
    <x v="4"/>
    <s v="visited_site"/>
    <d v="2026-07-20T03:43:00"/>
  </r>
  <r>
    <x v="5"/>
    <s v="signup_started"/>
    <d v="2026-07-20T03:53:00"/>
  </r>
  <r>
    <x v="6"/>
    <s v="visited_site"/>
    <d v="2026-07-20T04:00:00"/>
  </r>
  <r>
    <x v="7"/>
    <s v="visited_site"/>
    <d v="2026-07-20T03:33:00"/>
  </r>
  <r>
    <x v="8"/>
    <s v="visited_site"/>
    <d v="2026-07-20T03:58:00"/>
  </r>
  <r>
    <x v="9"/>
    <s v="signup_started"/>
    <d v="2026-07-20T04:08:00"/>
  </r>
  <r>
    <x v="10"/>
    <s v="signup_started"/>
    <d v="2026-07-20T04:04:00"/>
  </r>
  <r>
    <x v="11"/>
    <s v="visited_site"/>
    <d v="2026-07-20T03:52:00"/>
  </r>
  <r>
    <x v="12"/>
    <s v="visited_site"/>
    <d v="2026-07-20T03:40:00"/>
  </r>
  <r>
    <x v="13"/>
    <s v="visited_site"/>
    <d v="2026-07-20T03:46:00"/>
  </r>
  <r>
    <x v="14"/>
    <s v="signup_started"/>
    <d v="2026-07-20T04:04:00"/>
  </r>
  <r>
    <x v="15"/>
    <s v="signup_started"/>
    <d v="2026-07-20T03:48:00"/>
  </r>
  <r>
    <x v="16"/>
    <s v="visited_site"/>
    <d v="2026-07-20T03:48:00"/>
  </r>
  <r>
    <x v="17"/>
    <s v="visited_site"/>
    <d v="2026-07-20T03:59:00"/>
  </r>
  <r>
    <x v="18"/>
    <s v="visited_site"/>
    <d v="2026-07-20T03:56:00"/>
  </r>
  <r>
    <x v="19"/>
    <s v="signup_started"/>
    <d v="2026-07-20T04:18:00"/>
  </r>
  <r>
    <x v="20"/>
    <s v="visited_site"/>
    <d v="2026-07-20T03:33:00"/>
  </r>
  <r>
    <x v="21"/>
    <s v="signup_started"/>
    <d v="2026-07-20T04:12:00"/>
  </r>
  <r>
    <x v="22"/>
    <s v="visited_site"/>
    <d v="2026-07-20T03:37:00"/>
  </r>
  <r>
    <x v="23"/>
    <s v="visited_site"/>
    <d v="2026-07-20T03:34:00"/>
  </r>
  <r>
    <x v="14"/>
    <s v="visited_site"/>
    <d v="2026-07-20T03:42:00"/>
  </r>
  <r>
    <x v="24"/>
    <s v="visited_site"/>
    <d v="2026-07-20T03:55:00"/>
  </r>
  <r>
    <x v="25"/>
    <s v="visited_site"/>
    <d v="2026-07-20T03:47:00"/>
  </r>
  <r>
    <x v="26"/>
    <s v="visited_site"/>
    <d v="2026-07-20T03:54:00"/>
  </r>
  <r>
    <x v="27"/>
    <s v="details_filled"/>
    <d v="2026-07-20T04:06:00"/>
  </r>
  <r>
    <x v="28"/>
    <s v="details_filled"/>
    <d v="2026-07-20T04:09:00"/>
  </r>
  <r>
    <x v="29"/>
    <s v="visited_site"/>
    <d v="2026-07-20T03:47:00"/>
  </r>
  <r>
    <x v="24"/>
    <s v="purchase_completed"/>
    <d v="2026-07-20T04:47:00"/>
  </r>
  <r>
    <x v="30"/>
    <s v="visited_site"/>
    <d v="2026-07-20T03:43:00"/>
  </r>
  <r>
    <x v="31"/>
    <s v="signup_started"/>
    <d v="2026-07-20T04:00:00"/>
  </r>
  <r>
    <x v="32"/>
    <s v="visited_site"/>
    <d v="2026-07-20T04:01:00"/>
  </r>
  <r>
    <x v="33"/>
    <s v="details_filled"/>
    <d v="2026-07-20T04:17:00"/>
  </r>
  <r>
    <x v="34"/>
    <s v="visited_site"/>
    <d v="2026-07-20T03:31:00"/>
  </r>
  <r>
    <x v="35"/>
    <s v="visited_site"/>
    <d v="2026-07-20T03:32:00"/>
  </r>
  <r>
    <x v="36"/>
    <s v="purchase_completed"/>
    <d v="2026-07-20T05:01:00"/>
  </r>
  <r>
    <x v="37"/>
    <s v="signup_started"/>
    <d v="2026-07-20T04:17:00"/>
  </r>
  <r>
    <x v="38"/>
    <s v="details_filled"/>
    <d v="2026-07-20T04:10:00"/>
  </r>
  <r>
    <x v="39"/>
    <s v="details_filled"/>
    <d v="2026-07-20T04:36:00"/>
  </r>
  <r>
    <x v="40"/>
    <s v="signup_started"/>
    <d v="2026-07-20T04:02:00"/>
  </r>
  <r>
    <x v="41"/>
    <s v="signup_started"/>
    <d v="2026-07-20T04:23:00"/>
  </r>
  <r>
    <x v="42"/>
    <s v="visited_site"/>
    <d v="2026-07-20T03:31:00"/>
  </r>
  <r>
    <x v="43"/>
    <s v="visited_site"/>
    <d v="2026-07-20T03:50:00"/>
  </r>
  <r>
    <x v="1"/>
    <s v="signup_started"/>
    <d v="2026-07-20T03:48:00"/>
  </r>
  <r>
    <x v="44"/>
    <s v="signup_started"/>
    <d v="2026-07-20T03:58:00"/>
  </r>
  <r>
    <x v="45"/>
    <s v="visited_site"/>
    <d v="2026-07-20T03:49:00"/>
  </r>
  <r>
    <x v="46"/>
    <s v="signup_started"/>
    <d v="2026-07-20T04:01:00"/>
  </r>
  <r>
    <x v="6"/>
    <s v="signup_started"/>
    <d v="2026-07-20T04:19:00"/>
  </r>
  <r>
    <x v="47"/>
    <s v="visited_site"/>
    <d v="2026-07-20T04:03:00"/>
  </r>
  <r>
    <x v="48"/>
    <s v="visited_site"/>
    <d v="2026-07-20T03:56:00"/>
  </r>
  <r>
    <x v="49"/>
    <s v="visited_site"/>
    <d v="2026-07-20T03:38:00"/>
  </r>
  <r>
    <x v="50"/>
    <s v="signup_started"/>
    <d v="2026-07-20T03:55:00"/>
  </r>
  <r>
    <x v="51"/>
    <s v="details_filled"/>
    <d v="2026-07-20T04:17:00"/>
  </r>
  <r>
    <x v="52"/>
    <s v="signup_started"/>
    <d v="2026-07-20T04:00:00"/>
  </r>
  <r>
    <x v="39"/>
    <s v="signup_started"/>
    <d v="2026-07-20T04:19:00"/>
  </r>
  <r>
    <x v="53"/>
    <s v="signup_started"/>
    <d v="2026-07-20T04:14:00"/>
  </r>
  <r>
    <x v="51"/>
    <s v="visited_site"/>
    <d v="2026-07-20T03:41:00"/>
  </r>
  <r>
    <x v="54"/>
    <s v="signup_started"/>
    <d v="2026-07-20T03:48:00"/>
  </r>
  <r>
    <x v="49"/>
    <s v="signup_started"/>
    <d v="2026-07-20T04:21:00"/>
  </r>
  <r>
    <x v="55"/>
    <s v="visited_site"/>
    <d v="2026-07-20T04:04:00"/>
  </r>
  <r>
    <x v="56"/>
    <s v="details_filled"/>
    <d v="2026-07-20T04:22:00"/>
  </r>
  <r>
    <x v="57"/>
    <s v="visited_site"/>
    <d v="2026-07-20T03:47:00"/>
  </r>
  <r>
    <x v="58"/>
    <s v="details_filled"/>
    <d v="2026-07-20T04:32:00"/>
  </r>
  <r>
    <x v="59"/>
    <s v="purchase_completed"/>
    <d v="2026-07-20T05:09:00"/>
  </r>
  <r>
    <x v="3"/>
    <s v="visited_site"/>
    <d v="2026-07-20T04:04:00"/>
  </r>
  <r>
    <x v="39"/>
    <s v="visited_site"/>
    <d v="2026-07-20T03:31:00"/>
  </r>
  <r>
    <x v="60"/>
    <s v="visited_site"/>
    <d v="2026-07-20T04:01:00"/>
  </r>
  <r>
    <x v="61"/>
    <s v="email_verified"/>
    <d v="2026-07-20T04:26:00"/>
  </r>
  <r>
    <x v="62"/>
    <s v="signup_started"/>
    <d v="2026-07-20T04:15:00"/>
  </r>
  <r>
    <x v="63"/>
    <s v="visited_site"/>
    <d v="2026-07-20T03:40:00"/>
  </r>
  <r>
    <x v="64"/>
    <s v="visited_site"/>
    <d v="2026-07-20T03:35:00"/>
  </r>
  <r>
    <x v="65"/>
    <s v="visited_site"/>
    <d v="2026-07-20T03:59:00"/>
  </r>
  <r>
    <x v="66"/>
    <s v="details_filled"/>
    <d v="2026-07-20T04:15:00"/>
  </r>
  <r>
    <x v="33"/>
    <s v="visited_site"/>
    <d v="2026-07-20T03:39:00"/>
  </r>
  <r>
    <x v="14"/>
    <s v="details_filled"/>
    <d v="2026-07-20T04:06:00"/>
  </r>
  <r>
    <x v="67"/>
    <s v="email_verified"/>
    <d v="2026-07-20T04:38:00"/>
  </r>
  <r>
    <x v="44"/>
    <s v="visited_site"/>
    <d v="2026-07-20T03:34:00"/>
  </r>
  <r>
    <x v="37"/>
    <s v="details_filled"/>
    <d v="2026-07-20T04:13:00"/>
  </r>
  <r>
    <x v="68"/>
    <s v="purchase_completed"/>
    <d v="2026-07-20T04:53:00"/>
  </r>
  <r>
    <x v="69"/>
    <s v="signup_started"/>
    <d v="2026-07-20T04:18:00"/>
  </r>
  <r>
    <x v="70"/>
    <s v="visited_site"/>
    <d v="2026-07-20T03:36:00"/>
  </r>
  <r>
    <x v="2"/>
    <s v="signup_started"/>
    <d v="2026-07-20T03:47:00"/>
  </r>
  <r>
    <x v="71"/>
    <s v="signup_started"/>
    <d v="2026-07-20T03:54:00"/>
  </r>
  <r>
    <x v="72"/>
    <s v="visited_site"/>
    <d v="2026-07-20T03:33:00"/>
  </r>
  <r>
    <x v="73"/>
    <s v="details_filled"/>
    <d v="2026-07-20T04:07:00"/>
  </r>
  <r>
    <x v="37"/>
    <s v="visited_site"/>
    <d v="2026-07-20T03:52:00"/>
  </r>
  <r>
    <x v="74"/>
    <s v="signup_started"/>
    <d v="2026-07-20T03:59:00"/>
  </r>
  <r>
    <x v="75"/>
    <s v="signup_started"/>
    <d v="2026-07-20T04:07:00"/>
  </r>
  <r>
    <x v="76"/>
    <s v="details_filled"/>
    <d v="2026-07-20T04:07:00"/>
  </r>
  <r>
    <x v="59"/>
    <s v="signup_started"/>
    <d v="2026-07-20T03:48:00"/>
  </r>
  <r>
    <x v="77"/>
    <s v="visited_site"/>
    <d v="2026-07-20T04:00:00"/>
  </r>
  <r>
    <x v="78"/>
    <s v="details_filled"/>
    <d v="2026-07-20T04:39:00"/>
  </r>
  <r>
    <x v="13"/>
    <s v="signup_started"/>
    <d v="2026-07-20T04:13:00"/>
  </r>
  <r>
    <x v="54"/>
    <s v="purchase_completed"/>
    <d v="2026-07-20T05:05:00"/>
  </r>
  <r>
    <x v="79"/>
    <s v="signup_started"/>
    <d v="2026-07-20T03:57:00"/>
  </r>
  <r>
    <x v="80"/>
    <s v="purchase_completed"/>
    <d v="2026-07-20T04:45:00"/>
  </r>
  <r>
    <x v="81"/>
    <s v="visited_site"/>
    <d v="2026-07-20T04:05:00"/>
  </r>
  <r>
    <x v="82"/>
    <s v="signup_started"/>
    <d v="2026-07-20T04:06:00"/>
  </r>
  <r>
    <x v="83"/>
    <s v="signup_started"/>
    <d v="2026-07-20T03:53:00"/>
  </r>
  <r>
    <x v="24"/>
    <s v="signup_started"/>
    <d v="2026-07-20T04:09:00"/>
  </r>
  <r>
    <x v="21"/>
    <s v="details_filled"/>
    <d v="2026-07-20T04:07:00"/>
  </r>
  <r>
    <x v="57"/>
    <s v="details_filled"/>
    <d v="2026-07-20T04:33:00"/>
  </r>
  <r>
    <x v="84"/>
    <s v="signup_started"/>
    <d v="2026-07-20T03:52:00"/>
  </r>
  <r>
    <x v="85"/>
    <s v="details_filled"/>
    <d v="2026-07-20T04:22:00"/>
  </r>
  <r>
    <x v="86"/>
    <s v="signup_started"/>
    <d v="2026-07-20T04:01:00"/>
  </r>
  <r>
    <x v="87"/>
    <s v="visited_site"/>
    <d v="2026-07-20T03:38:00"/>
  </r>
  <r>
    <x v="88"/>
    <s v="visited_site"/>
    <d v="2026-07-20T03:37:00"/>
  </r>
  <r>
    <x v="89"/>
    <s v="visited_site"/>
    <d v="2026-07-20T03:45:00"/>
  </r>
  <r>
    <x v="90"/>
    <s v="email_verified"/>
    <d v="2026-07-20T04:24:00"/>
  </r>
  <r>
    <x v="91"/>
    <s v="visited_site"/>
    <d v="2026-07-20T04:04:00"/>
  </r>
  <r>
    <x v="35"/>
    <s v="email_verified"/>
    <d v="2026-07-20T04:46:00"/>
  </r>
  <r>
    <x v="92"/>
    <s v="visited_site"/>
    <d v="2026-07-20T03:33:00"/>
  </r>
  <r>
    <x v="93"/>
    <s v="signup_started"/>
    <d v="2026-07-20T04:08:00"/>
  </r>
  <r>
    <x v="94"/>
    <s v="email_verified"/>
    <d v="2026-07-20T04:28:00"/>
  </r>
  <r>
    <x v="95"/>
    <s v="visited_site"/>
    <d v="2026-07-20T03:58:00"/>
  </r>
  <r>
    <x v="94"/>
    <s v="visited_site"/>
    <d v="2026-07-20T03:31:00"/>
  </r>
  <r>
    <x v="96"/>
    <s v="signup_started"/>
    <d v="2026-07-20T03:56:00"/>
  </r>
  <r>
    <x v="97"/>
    <s v="signup_started"/>
    <d v="2026-07-20T04:18:00"/>
  </r>
  <r>
    <x v="98"/>
    <s v="visited_site"/>
    <d v="2026-07-20T03:39:00"/>
  </r>
  <r>
    <x v="99"/>
    <s v="signup_started"/>
    <d v="2026-07-20T03:53:00"/>
  </r>
  <r>
    <x v="100"/>
    <s v="purchase_completed"/>
    <d v="2026-07-20T04:40:00"/>
  </r>
  <r>
    <x v="0"/>
    <s v="purchase_completed"/>
    <d v="2026-07-20T04:53:00"/>
  </r>
  <r>
    <x v="101"/>
    <s v="email_verified"/>
    <d v="2026-07-20T04:24:00"/>
  </r>
  <r>
    <x v="76"/>
    <s v="visited_site"/>
    <d v="2026-07-20T04:03:00"/>
  </r>
  <r>
    <x v="69"/>
    <s v="email_verified"/>
    <d v="2026-07-20T04:33:00"/>
  </r>
  <r>
    <x v="102"/>
    <s v="visited_site"/>
    <d v="2026-07-20T04:09:00"/>
  </r>
  <r>
    <x v="103"/>
    <s v="visited_site"/>
    <d v="2026-07-20T04:04:00"/>
  </r>
  <r>
    <x v="104"/>
    <s v="signup_started"/>
    <d v="2026-07-20T04:19:00"/>
  </r>
  <r>
    <x v="105"/>
    <s v="signup_started"/>
    <d v="2026-07-20T04:20:00"/>
  </r>
  <r>
    <x v="106"/>
    <s v="signup_started"/>
    <d v="2026-07-20T04:05:00"/>
  </r>
  <r>
    <x v="107"/>
    <s v="email_verified"/>
    <d v="2026-07-20T04:23:00"/>
  </r>
  <r>
    <x v="93"/>
    <s v="details_filled"/>
    <d v="2026-07-20T04:25:00"/>
  </r>
  <r>
    <x v="16"/>
    <s v="details_filled"/>
    <d v="2026-07-20T04:09:00"/>
  </r>
  <r>
    <x v="108"/>
    <s v="signup_started"/>
    <d v="2026-07-20T04:11:00"/>
  </r>
  <r>
    <x v="109"/>
    <s v="details_filled"/>
    <d v="2026-07-20T04:19:00"/>
  </r>
  <r>
    <x v="28"/>
    <s v="signup_started"/>
    <d v="2026-07-20T03:52:00"/>
  </r>
  <r>
    <x v="110"/>
    <s v="visited_site"/>
    <d v="2026-07-20T04:06:00"/>
  </r>
  <r>
    <x v="93"/>
    <s v="visited_site"/>
    <d v="2026-07-20T04:05:00"/>
  </r>
  <r>
    <x v="80"/>
    <s v="signup_started"/>
    <d v="2026-07-20T04:02:00"/>
  </r>
  <r>
    <x v="111"/>
    <s v="signup_started"/>
    <d v="2026-07-20T03:48:00"/>
  </r>
  <r>
    <x v="112"/>
    <s v="email_verified"/>
    <d v="2026-07-20T04:31:00"/>
  </r>
  <r>
    <x v="113"/>
    <s v="signup_started"/>
    <d v="2026-07-20T04:06:00"/>
  </r>
  <r>
    <x v="114"/>
    <s v="purchase_completed"/>
    <d v="2026-07-20T05:01:00"/>
  </r>
  <r>
    <x v="32"/>
    <s v="signup_started"/>
    <d v="2026-07-20T04:02:00"/>
  </r>
  <r>
    <x v="115"/>
    <s v="purchase_completed"/>
    <d v="2026-07-20T04:40:00"/>
  </r>
  <r>
    <x v="106"/>
    <s v="purchase_completed"/>
    <d v="2026-07-20T04:33:00"/>
  </r>
  <r>
    <x v="45"/>
    <s v="details_filled"/>
    <d v="2026-07-20T04:08:00"/>
  </r>
  <r>
    <x v="71"/>
    <s v="visited_site"/>
    <d v="2026-07-20T03:43:00"/>
  </r>
  <r>
    <x v="41"/>
    <s v="visited_site"/>
    <d v="2026-07-20T03:55:00"/>
  </r>
  <r>
    <x v="116"/>
    <s v="signup_started"/>
    <d v="2026-07-20T04:13:00"/>
  </r>
  <r>
    <x v="117"/>
    <s v="signup_started"/>
    <d v="2026-07-20T04:00:00"/>
  </r>
  <r>
    <x v="74"/>
    <s v="visited_site"/>
    <d v="2026-07-20T03:38:00"/>
  </r>
  <r>
    <x v="11"/>
    <s v="signup_started"/>
    <d v="2026-07-20T03:46:00"/>
  </r>
  <r>
    <x v="118"/>
    <s v="signup_started"/>
    <d v="2026-07-20T04:05:00"/>
  </r>
  <r>
    <x v="119"/>
    <s v="signup_started"/>
    <d v="2026-07-20T04:20:00"/>
  </r>
  <r>
    <x v="120"/>
    <s v="signup_started"/>
    <d v="2026-07-20T04:07:00"/>
  </r>
  <r>
    <x v="69"/>
    <s v="visited_site"/>
    <d v="2026-07-20T04:03:00"/>
  </r>
  <r>
    <x v="121"/>
    <s v="purchase_completed"/>
    <d v="2026-07-20T05:07:00"/>
  </r>
  <r>
    <x v="79"/>
    <s v="purchase_completed"/>
    <d v="2026-07-20T04:36:00"/>
  </r>
  <r>
    <x v="122"/>
    <s v="visited_site"/>
    <d v="2026-07-20T03:49:00"/>
  </r>
  <r>
    <x v="123"/>
    <s v="email_verified"/>
    <d v="2026-07-20T04:16:00"/>
  </r>
  <r>
    <x v="124"/>
    <s v="signup_started"/>
    <d v="2026-07-20T03:57:00"/>
  </r>
  <r>
    <x v="105"/>
    <s v="visited_site"/>
    <d v="2026-07-20T04:01:00"/>
  </r>
  <r>
    <x v="125"/>
    <s v="details_filled"/>
    <d v="2026-07-20T04:14:00"/>
  </r>
  <r>
    <x v="126"/>
    <s v="visited_site"/>
    <d v="2026-07-20T04:02:00"/>
  </r>
  <r>
    <x v="43"/>
    <s v="email_verified"/>
    <d v="2026-07-20T04:45:00"/>
  </r>
  <r>
    <x v="18"/>
    <s v="details_filled"/>
    <d v="2026-07-20T04:29:00"/>
  </r>
  <r>
    <x v="127"/>
    <s v="purchase_completed"/>
    <d v="2026-07-20T04:46:00"/>
  </r>
  <r>
    <x v="128"/>
    <s v="email_verified"/>
    <d v="2026-07-20T04:51:00"/>
  </r>
  <r>
    <x v="20"/>
    <s v="details_filled"/>
    <d v="2026-07-20T04:07:00"/>
  </r>
  <r>
    <x v="36"/>
    <s v="signup_started"/>
    <d v="2026-07-20T04:05:00"/>
  </r>
  <r>
    <x v="96"/>
    <s v="email_verified"/>
    <d v="2026-07-20T04:17:00"/>
  </r>
  <r>
    <x v="129"/>
    <s v="visited_site"/>
    <d v="2026-07-20T03:49:00"/>
  </r>
  <r>
    <x v="130"/>
    <s v="visited_site"/>
    <d v="2026-07-20T04:02:00"/>
  </r>
  <r>
    <x v="131"/>
    <s v="details_filled"/>
    <d v="2026-07-20T04:04:00"/>
  </r>
  <r>
    <x v="86"/>
    <s v="visited_site"/>
    <d v="2026-07-20T03:42:00"/>
  </r>
  <r>
    <x v="132"/>
    <s v="details_filled"/>
    <d v="2026-07-20T04:16:00"/>
  </r>
  <r>
    <x v="133"/>
    <s v="email_verified"/>
    <d v="2026-07-20T04:26:00"/>
  </r>
  <r>
    <x v="134"/>
    <s v="details_filled"/>
    <d v="2026-07-20T04:11:00"/>
  </r>
  <r>
    <x v="135"/>
    <s v="signup_started"/>
    <d v="2026-07-20T04:02:00"/>
  </r>
  <r>
    <x v="136"/>
    <s v="visited_site"/>
    <d v="2026-07-20T03:49:00"/>
  </r>
  <r>
    <x v="87"/>
    <s v="details_filled"/>
    <d v="2026-07-20T04:03:00"/>
  </r>
  <r>
    <x v="61"/>
    <s v="visited_site"/>
    <d v="2026-07-20T03:33:00"/>
  </r>
  <r>
    <x v="13"/>
    <s v="details_filled"/>
    <d v="2026-07-20T04:36:00"/>
  </r>
  <r>
    <x v="50"/>
    <s v="visited_site"/>
    <d v="2026-07-20T04:07:00"/>
  </r>
  <r>
    <x v="137"/>
    <s v="visited_site"/>
    <d v="2026-07-20T04:07:00"/>
  </r>
  <r>
    <x v="138"/>
    <s v="details_filled"/>
    <d v="2026-07-20T04:07:00"/>
  </r>
  <r>
    <x v="139"/>
    <s v="visited_site"/>
    <d v="2026-07-20T03:46:00"/>
  </r>
  <r>
    <x v="126"/>
    <s v="signup_started"/>
    <d v="2026-07-20T03:54:00"/>
  </r>
  <r>
    <x v="67"/>
    <s v="visited_site"/>
    <d v="2026-07-20T04:02:00"/>
  </r>
  <r>
    <x v="140"/>
    <s v="signup_started"/>
    <d v="2026-07-20T04:01:00"/>
  </r>
  <r>
    <x v="141"/>
    <s v="signup_started"/>
    <d v="2026-07-20T04:19:00"/>
  </r>
  <r>
    <x v="142"/>
    <s v="signup_started"/>
    <d v="2026-07-20T03:53:00"/>
  </r>
  <r>
    <x v="143"/>
    <s v="signup_started"/>
    <d v="2026-07-20T04:02:00"/>
  </r>
  <r>
    <x v="57"/>
    <s v="signup_started"/>
    <d v="2026-07-20T04:24:00"/>
  </r>
  <r>
    <x v="132"/>
    <s v="visited_site"/>
    <d v="2026-07-20T04:09:00"/>
  </r>
  <r>
    <x v="127"/>
    <s v="visited_site"/>
    <d v="2026-07-20T03:49:00"/>
  </r>
  <r>
    <x v="56"/>
    <s v="signup_started"/>
    <d v="2026-07-20T04:23:00"/>
  </r>
  <r>
    <x v="144"/>
    <s v="details_filled"/>
    <d v="2026-07-20T04:31:00"/>
  </r>
  <r>
    <x v="145"/>
    <s v="signup_started"/>
    <d v="2026-07-20T04:04:00"/>
  </r>
  <r>
    <x v="54"/>
    <s v="visited_site"/>
    <d v="2026-07-20T03:34:00"/>
  </r>
  <r>
    <x v="105"/>
    <s v="purchase_completed"/>
    <d v="2026-07-20T05:03:00"/>
  </r>
  <r>
    <x v="75"/>
    <s v="visited_site"/>
    <d v="2026-07-20T04:06:00"/>
  </r>
  <r>
    <x v="104"/>
    <s v="visited_site"/>
    <d v="2026-07-20T04:07:00"/>
  </r>
  <r>
    <x v="146"/>
    <s v="email_verified"/>
    <d v="2026-07-20T04:19:00"/>
  </r>
  <r>
    <x v="147"/>
    <s v="signup_started"/>
    <d v="2026-07-20T04:18:00"/>
  </r>
  <r>
    <x v="97"/>
    <s v="visited_site"/>
    <d v="2026-07-20T03:49:00"/>
  </r>
  <r>
    <x v="125"/>
    <s v="visited_site"/>
    <d v="2026-07-20T03:55:00"/>
  </r>
  <r>
    <x v="127"/>
    <s v="signup_started"/>
    <d v="2026-07-20T04:22:00"/>
  </r>
  <r>
    <x v="148"/>
    <s v="purchase_completed"/>
    <d v="2026-07-20T05:04:00"/>
  </r>
  <r>
    <x v="128"/>
    <s v="visited_site"/>
    <d v="2026-07-20T03:31:00"/>
  </r>
  <r>
    <x v="149"/>
    <s v="signup_started"/>
    <d v="2026-07-20T04:21:00"/>
  </r>
  <r>
    <x v="107"/>
    <s v="visited_site"/>
    <d v="2026-07-20T04:02:00"/>
  </r>
  <r>
    <x v="68"/>
    <s v="visited_site"/>
    <d v="2026-07-20T03:47:00"/>
  </r>
  <r>
    <x v="150"/>
    <s v="visited_site"/>
    <d v="2026-07-20T03:55:00"/>
  </r>
  <r>
    <x v="46"/>
    <s v="visited_site"/>
    <d v="2026-07-20T03:57:00"/>
  </r>
  <r>
    <x v="112"/>
    <s v="signup_started"/>
    <d v="2026-07-20T03:48:00"/>
  </r>
  <r>
    <x v="98"/>
    <s v="signup_started"/>
    <d v="2026-07-20T03:54:00"/>
  </r>
  <r>
    <x v="43"/>
    <s v="signup_started"/>
    <d v="2026-07-20T04:00:00"/>
  </r>
  <r>
    <x v="151"/>
    <s v="details_filled"/>
    <d v="2026-07-20T04:31:00"/>
  </r>
  <r>
    <x v="3"/>
    <s v="email_verified"/>
    <d v="2026-07-20T04:20:00"/>
  </r>
  <r>
    <x v="100"/>
    <s v="visited_site"/>
    <d v="2026-07-20T03:54:00"/>
  </r>
  <r>
    <x v="152"/>
    <s v="visited_site"/>
    <d v="2026-07-20T03:40:00"/>
  </r>
  <r>
    <x v="25"/>
    <s v="signup_started"/>
    <d v="2026-07-20T04:20:00"/>
  </r>
  <r>
    <x v="153"/>
    <s v="signup_started"/>
    <d v="2026-07-20T03:56:00"/>
  </r>
  <r>
    <x v="44"/>
    <s v="email_verified"/>
    <d v="2026-07-20T04:45:00"/>
  </r>
  <r>
    <x v="154"/>
    <s v="details_filled"/>
    <d v="2026-07-20T04:04:00"/>
  </r>
  <r>
    <x v="70"/>
    <s v="details_filled"/>
    <d v="2026-07-20T04:29:00"/>
  </r>
  <r>
    <x v="137"/>
    <s v="details_filled"/>
    <d v="2026-07-20T04:36:00"/>
  </r>
  <r>
    <x v="155"/>
    <s v="visited_site"/>
    <d v="2026-07-20T04:07:00"/>
  </r>
  <r>
    <x v="156"/>
    <s v="email_verified"/>
    <d v="2026-07-20T04:34:00"/>
  </r>
  <r>
    <x v="41"/>
    <s v="email_verified"/>
    <d v="2026-07-20T04:54:00"/>
  </r>
  <r>
    <x v="7"/>
    <s v="details_filled"/>
    <d v="2026-07-20T04:15:00"/>
  </r>
  <r>
    <x v="106"/>
    <s v="visited_site"/>
    <d v="2026-07-20T03:37:00"/>
  </r>
  <r>
    <x v="157"/>
    <s v="signup_started"/>
    <d v="2026-07-20T04:15:00"/>
  </r>
  <r>
    <x v="158"/>
    <s v="email_verified"/>
    <d v="2026-07-20T04:54:00"/>
  </r>
  <r>
    <x v="159"/>
    <s v="signup_started"/>
    <d v="2026-07-20T04:17:00"/>
  </r>
  <r>
    <x v="1"/>
    <s v="purchase_completed"/>
    <d v="2026-07-20T04:40:00"/>
  </r>
  <r>
    <x v="160"/>
    <s v="visited_site"/>
    <d v="2026-07-20T03:30:00"/>
  </r>
  <r>
    <x v="65"/>
    <s v="signup_started"/>
    <d v="2026-07-20T04:07:00"/>
  </r>
  <r>
    <x v="94"/>
    <s v="signup_started"/>
    <d v="2026-07-20T04:21:00"/>
  </r>
  <r>
    <x v="161"/>
    <s v="visited_site"/>
    <d v="2026-07-20T03:33:00"/>
  </r>
  <r>
    <x v="107"/>
    <s v="signup_started"/>
    <d v="2026-07-20T04:14:00"/>
  </r>
  <r>
    <x v="68"/>
    <s v="signup_started"/>
    <d v="2026-07-20T03:55:00"/>
  </r>
  <r>
    <x v="162"/>
    <s v="signup_started"/>
    <d v="2026-07-20T04:09:00"/>
  </r>
  <r>
    <x v="145"/>
    <s v="visited_site"/>
    <d v="2026-07-20T03:35:00"/>
  </r>
  <r>
    <x v="163"/>
    <s v="signup_started"/>
    <d v="2026-07-20T04:23:00"/>
  </r>
  <r>
    <x v="146"/>
    <s v="signup_started"/>
    <d v="2026-07-20T04:02:00"/>
  </r>
  <r>
    <x v="142"/>
    <s v="visited_site"/>
    <d v="2026-07-20T04:08:00"/>
  </r>
  <r>
    <x v="116"/>
    <s v="visited_site"/>
    <d v="2026-07-20T04:06:00"/>
  </r>
  <r>
    <x v="42"/>
    <s v="purchase_completed"/>
    <d v="2026-07-20T04:56:00"/>
  </r>
  <r>
    <x v="119"/>
    <s v="visited_site"/>
    <d v="2026-07-20T03:32:00"/>
  </r>
  <r>
    <x v="30"/>
    <s v="signup_started"/>
    <d v="2026-07-20T04:11:00"/>
  </r>
  <r>
    <x v="164"/>
    <s v="details_filled"/>
    <d v="2026-07-20T04:20:00"/>
  </r>
  <r>
    <x v="58"/>
    <s v="visited_site"/>
    <d v="2026-07-20T03:32:00"/>
  </r>
  <r>
    <x v="165"/>
    <s v="visited_site"/>
    <d v="2026-07-20T04:04:00"/>
  </r>
  <r>
    <x v="150"/>
    <s v="details_filled"/>
    <d v="2026-07-20T04:07:00"/>
  </r>
  <r>
    <x v="95"/>
    <s v="details_filled"/>
    <d v="2026-07-20T04:08:00"/>
  </r>
  <r>
    <x v="111"/>
    <s v="visited_site"/>
    <d v="2026-07-20T03:56:00"/>
  </r>
  <r>
    <x v="155"/>
    <s v="signup_started"/>
    <d v="2026-07-20T03:54:00"/>
  </r>
  <r>
    <x v="166"/>
    <s v="details_filled"/>
    <d v="2026-07-20T04:09:00"/>
  </r>
  <r>
    <x v="162"/>
    <s v="visited_site"/>
    <d v="2026-07-20T03:30:00"/>
  </r>
  <r>
    <x v="156"/>
    <s v="signup_started"/>
    <d v="2026-07-20T04:16:00"/>
  </r>
  <r>
    <x v="135"/>
    <s v="email_verified"/>
    <d v="2026-07-20T04:24:00"/>
  </r>
  <r>
    <x v="27"/>
    <s v="visited_site"/>
    <d v="2026-07-20T03:54:00"/>
  </r>
  <r>
    <x v="161"/>
    <s v="purchase_completed"/>
    <d v="2026-07-20T04:34:00"/>
  </r>
  <r>
    <x v="61"/>
    <s v="signup_started"/>
    <d v="2026-07-20T04:10:00"/>
  </r>
  <r>
    <x v="167"/>
    <s v="signup_started"/>
    <d v="2026-07-20T04:17:00"/>
  </r>
  <r>
    <x v="168"/>
    <s v="signup_started"/>
    <d v="2026-07-20T04:15:00"/>
  </r>
  <r>
    <x v="50"/>
    <s v="details_filled"/>
    <d v="2026-07-20T04:33:00"/>
  </r>
  <r>
    <x v="169"/>
    <s v="visited_site"/>
    <d v="2026-07-20T03:43:00"/>
  </r>
  <r>
    <x v="124"/>
    <s v="visited_site"/>
    <d v="2026-07-20T03:45:00"/>
  </r>
  <r>
    <x v="53"/>
    <s v="visited_site"/>
    <d v="2026-07-20T03:54:00"/>
  </r>
  <r>
    <x v="55"/>
    <s v="details_filled"/>
    <d v="2026-07-20T04:32:00"/>
  </r>
  <r>
    <x v="148"/>
    <s v="visited_site"/>
    <d v="2026-07-20T03:30:00"/>
  </r>
  <r>
    <x v="115"/>
    <s v="signup_started"/>
    <d v="2026-07-20T04:01:00"/>
  </r>
  <r>
    <x v="40"/>
    <s v="visited_site"/>
    <d v="2026-07-20T04:02:00"/>
  </r>
  <r>
    <x v="91"/>
    <s v="details_filled"/>
    <d v="2026-07-20T04:23:00"/>
  </r>
  <r>
    <x v="170"/>
    <s v="signup_started"/>
    <d v="2026-07-20T04:12:00"/>
  </r>
  <r>
    <x v="171"/>
    <s v="visited_site"/>
    <d v="2026-07-20T03:51:00"/>
  </r>
  <r>
    <x v="123"/>
    <s v="signup_started"/>
    <d v="2026-07-20T04:23:00"/>
  </r>
  <r>
    <x v="172"/>
    <s v="signup_started"/>
    <d v="2026-07-20T04:09:00"/>
  </r>
  <r>
    <x v="75"/>
    <s v="details_filled"/>
    <d v="2026-07-20T04:18:00"/>
  </r>
  <r>
    <x v="173"/>
    <s v="visited_site"/>
    <d v="2026-07-20T04:04:00"/>
  </r>
  <r>
    <x v="138"/>
    <s v="visited_site"/>
    <d v="2026-07-20T03:55:00"/>
  </r>
  <r>
    <x v="174"/>
    <s v="email_verified"/>
    <d v="2026-07-20T04:16:00"/>
  </r>
  <r>
    <x v="48"/>
    <s v="signup_started"/>
    <d v="2026-07-20T03:51:00"/>
  </r>
  <r>
    <x v="175"/>
    <s v="visited_site"/>
    <d v="2026-07-20T03:54:00"/>
  </r>
  <r>
    <x v="130"/>
    <s v="details_filled"/>
    <d v="2026-07-20T04:19:00"/>
  </r>
  <r>
    <x v="90"/>
    <s v="visited_site"/>
    <d v="2026-07-20T03:33:00"/>
  </r>
  <r>
    <x v="64"/>
    <s v="details_filled"/>
    <d v="2026-07-20T04:11:00"/>
  </r>
  <r>
    <x v="156"/>
    <s v="visited_site"/>
    <d v="2026-07-20T03:42:00"/>
  </r>
  <r>
    <x v="52"/>
    <s v="visited_site"/>
    <d v="2026-07-20T04:03:00"/>
  </r>
  <r>
    <x v="118"/>
    <s v="visited_site"/>
    <d v="2026-07-20T03:54:00"/>
  </r>
  <r>
    <x v="113"/>
    <s v="visited_site"/>
    <d v="2026-07-20T03:46:00"/>
  </r>
  <r>
    <x v="119"/>
    <s v="email_verified"/>
    <d v="2026-07-20T04:15:00"/>
  </r>
  <r>
    <x v="154"/>
    <s v="visited_site"/>
    <d v="2026-07-20T04:04:00"/>
  </r>
  <r>
    <x v="120"/>
    <s v="visited_site"/>
    <d v="2026-07-20T03:59:00"/>
  </r>
  <r>
    <x v="96"/>
    <s v="visited_site"/>
    <d v="2026-07-20T04:04:00"/>
  </r>
  <r>
    <x v="176"/>
    <s v="email_verified"/>
    <d v="2026-07-20T04:52:00"/>
  </r>
  <r>
    <x v="139"/>
    <s v="signup_started"/>
    <d v="2026-07-20T04:08:00"/>
  </r>
  <r>
    <x v="81"/>
    <s v="details_filled"/>
    <d v="2026-07-20T04:29:00"/>
  </r>
  <r>
    <x v="5"/>
    <s v="details_filled"/>
    <d v="2026-07-20T04:10:00"/>
  </r>
  <r>
    <x v="73"/>
    <s v="visited_site"/>
    <d v="2026-07-20T03:35:00"/>
  </r>
  <r>
    <x v="10"/>
    <s v="email_verified"/>
    <d v="2026-07-20T04:21:00"/>
  </r>
  <r>
    <x v="177"/>
    <s v="signup_started"/>
    <d v="2026-07-20T04:21:00"/>
  </r>
  <r>
    <x v="178"/>
    <s v="visited_site"/>
    <d v="2026-07-20T04:00:00"/>
  </r>
  <r>
    <x v="48"/>
    <s v="email_verified"/>
    <d v="2026-07-20T04:47:00"/>
  </r>
  <r>
    <x v="114"/>
    <s v="signup_started"/>
    <d v="2026-07-20T04:04:00"/>
  </r>
  <r>
    <x v="122"/>
    <s v="details_filled"/>
    <d v="2026-07-20T04:12:00"/>
  </r>
  <r>
    <x v="154"/>
    <s v="signup_started"/>
    <d v="2026-07-20T04:11:00"/>
  </r>
  <r>
    <x v="123"/>
    <s v="visited_site"/>
    <d v="2026-07-20T03:57:00"/>
  </r>
  <r>
    <x v="179"/>
    <s v="signup_started"/>
    <d v="2026-07-20T04:21:00"/>
  </r>
  <r>
    <x v="143"/>
    <s v="details_filled"/>
    <d v="2026-07-20T04:11:00"/>
  </r>
  <r>
    <x v="172"/>
    <s v="details_filled"/>
    <d v="2026-07-20T04:07:00"/>
  </r>
  <r>
    <x v="170"/>
    <s v="visited_site"/>
    <d v="2026-07-20T03:52:00"/>
  </r>
  <r>
    <x v="180"/>
    <s v="details_filled"/>
    <d v="2026-07-20T04:10:00"/>
  </r>
  <r>
    <x v="118"/>
    <s v="details_filled"/>
    <d v="2026-07-20T04:15:00"/>
  </r>
  <r>
    <x v="33"/>
    <s v="signup_started"/>
    <d v="2026-07-20T04:00:00"/>
  </r>
  <r>
    <x v="45"/>
    <s v="signup_started"/>
    <d v="2026-07-20T04:23:00"/>
  </r>
  <r>
    <x v="103"/>
    <s v="signup_started"/>
    <d v="2026-07-20T04:12:00"/>
  </r>
  <r>
    <x v="159"/>
    <s v="visited_site"/>
    <d v="2026-07-20T03:35:00"/>
  </r>
  <r>
    <x v="108"/>
    <s v="visited_site"/>
    <d v="2026-07-20T03:49:00"/>
  </r>
  <r>
    <x v="38"/>
    <s v="visited_site"/>
    <d v="2026-07-20T04:03:00"/>
  </r>
  <r>
    <x v="181"/>
    <s v="visited_site"/>
    <d v="2026-07-20T03:56:00"/>
  </r>
  <r>
    <x v="182"/>
    <s v="signup_started"/>
    <d v="2026-07-20T04:24:00"/>
  </r>
  <r>
    <x v="8"/>
    <s v="signup_started"/>
    <d v="2026-07-20T03:47:00"/>
  </r>
  <r>
    <x v="183"/>
    <s v="visited_site"/>
    <d v="2026-07-20T03:47:00"/>
  </r>
  <r>
    <x v="85"/>
    <s v="visited_site"/>
    <d v="2026-07-20T03:36:00"/>
  </r>
  <r>
    <x v="161"/>
    <s v="signup_started"/>
    <d v="2026-07-20T03:49:00"/>
  </r>
  <r>
    <x v="131"/>
    <s v="visited_site"/>
    <d v="2026-07-20T03:51:00"/>
  </r>
  <r>
    <x v="184"/>
    <s v="visited_site"/>
    <d v="2026-07-20T03:41:00"/>
  </r>
  <r>
    <x v="174"/>
    <s v="visited_site"/>
    <d v="2026-07-20T04:07:00"/>
  </r>
  <r>
    <x v="183"/>
    <s v="email_verified"/>
    <d v="2026-07-20T04:42:00"/>
  </r>
  <r>
    <x v="135"/>
    <s v="visited_site"/>
    <d v="2026-07-20T03:54:00"/>
  </r>
  <r>
    <x v="168"/>
    <s v="purchase_completed"/>
    <d v="2026-07-20T04:33:00"/>
  </r>
  <r>
    <x v="95"/>
    <s v="signup_started"/>
    <d v="2026-07-20T04:19:00"/>
  </r>
  <r>
    <x v="158"/>
    <s v="signup_started"/>
    <d v="2026-07-20T04:04:00"/>
  </r>
  <r>
    <x v="108"/>
    <s v="details_filled"/>
    <d v="2026-07-20T04:17:00"/>
  </r>
  <r>
    <x v="149"/>
    <s v="visited_site"/>
    <d v="2026-07-20T04:07:00"/>
  </r>
  <r>
    <x v="185"/>
    <s v="signup_started"/>
    <d v="2026-07-20T04:12:00"/>
  </r>
  <r>
    <x v="112"/>
    <s v="visited_site"/>
    <d v="2026-07-20T03:53:00"/>
  </r>
  <r>
    <x v="42"/>
    <s v="signup_started"/>
    <d v="2026-07-20T04:15:00"/>
  </r>
  <r>
    <x v="121"/>
    <s v="signup_started"/>
    <d v="2026-07-20T04:17:00"/>
  </r>
  <r>
    <x v="74"/>
    <s v="purchase_completed"/>
    <d v="2026-07-20T05:06:00"/>
  </r>
  <r>
    <x v="103"/>
    <s v="email_verified"/>
    <d v="2026-07-20T04:45:00"/>
  </r>
  <r>
    <x v="159"/>
    <s v="email_verified"/>
    <d v="2026-07-20T04:32:00"/>
  </r>
  <r>
    <x v="186"/>
    <s v="visited_site"/>
    <d v="2026-07-20T03:50:00"/>
  </r>
  <r>
    <x v="169"/>
    <s v="purchase_completed"/>
    <d v="2026-07-20T04:50:00"/>
  </r>
  <r>
    <x v="101"/>
    <s v="signup_started"/>
    <d v="2026-07-20T04:09:00"/>
  </r>
  <r>
    <x v="89"/>
    <s v="signup_started"/>
    <d v="2026-07-20T03:56:00"/>
  </r>
  <r>
    <x v="187"/>
    <s v="visited_site"/>
    <d v="2026-07-20T04:02:00"/>
  </r>
  <r>
    <x v="109"/>
    <s v="visited_site"/>
    <d v="2026-07-20T03:37:00"/>
  </r>
  <r>
    <x v="19"/>
    <s v="visited_site"/>
    <d v="2026-07-20T03:39:00"/>
  </r>
  <r>
    <x v="25"/>
    <s v="email_verified"/>
    <d v="2026-07-20T04:30:00"/>
  </r>
  <r>
    <x v="88"/>
    <s v="details_filled"/>
    <d v="2026-07-20T04:07:00"/>
  </r>
  <r>
    <x v="84"/>
    <s v="purchase_completed"/>
    <d v="2026-07-20T04:47:00"/>
  </r>
  <r>
    <x v="86"/>
    <s v="purchase_completed"/>
    <d v="2026-07-20T05:07:00"/>
  </r>
  <r>
    <x v="22"/>
    <s v="purchase_completed"/>
    <d v="2026-07-20T04:50:00"/>
  </r>
  <r>
    <x v="129"/>
    <s v="email_verified"/>
    <d v="2026-07-20T04:26:00"/>
  </r>
  <r>
    <x v="179"/>
    <s v="details_filled"/>
    <d v="2026-07-20T04:29:00"/>
  </r>
  <r>
    <x v="157"/>
    <s v="purchase_completed"/>
    <d v="2026-07-20T05:08:00"/>
  </r>
  <r>
    <x v="188"/>
    <s v="details_filled"/>
    <d v="2026-07-20T04:04:00"/>
  </r>
  <r>
    <x v="5"/>
    <s v="visited_site"/>
    <d v="2026-07-20T03:58:00"/>
  </r>
  <r>
    <x v="189"/>
    <s v="purchase_completed"/>
    <d v="2026-07-20T04:43:00"/>
  </r>
  <r>
    <x v="110"/>
    <s v="signup_started"/>
    <d v="2026-07-20T03:48:00"/>
  </r>
  <r>
    <x v="141"/>
    <s v="visited_site"/>
    <d v="2026-07-20T03:31:00"/>
  </r>
  <r>
    <x v="190"/>
    <s v="signup_started"/>
    <d v="2026-07-20T03:46:00"/>
  </r>
  <r>
    <x v="22"/>
    <s v="signup_started"/>
    <d v="2026-07-20T04:21:00"/>
  </r>
  <r>
    <x v="11"/>
    <s v="details_filled"/>
    <d v="2026-07-20T04:15:00"/>
  </r>
  <r>
    <x v="9"/>
    <s v="details_filled"/>
    <d v="2026-07-20T04:12:00"/>
  </r>
  <r>
    <x v="97"/>
    <s v="purchase_completed"/>
    <d v="2026-07-20T04:59:00"/>
  </r>
  <r>
    <x v="98"/>
    <s v="email_verified"/>
    <d v="2026-07-20T04:37:00"/>
  </r>
  <r>
    <x v="191"/>
    <s v="signup_started"/>
    <d v="2026-07-20T04:13:00"/>
  </r>
  <r>
    <x v="59"/>
    <s v="visited_site"/>
    <d v="2026-07-20T03:55:00"/>
  </r>
  <r>
    <x v="186"/>
    <s v="purchase_completed"/>
    <d v="2026-07-20T04:59:00"/>
  </r>
  <r>
    <x v="60"/>
    <s v="details_filled"/>
    <d v="2026-07-20T04:07:00"/>
  </r>
  <r>
    <x v="121"/>
    <s v="visited_site"/>
    <d v="2026-07-20T03:41:00"/>
  </r>
  <r>
    <x v="172"/>
    <s v="visited_site"/>
    <d v="2026-07-20T03:42:00"/>
  </r>
  <r>
    <x v="133"/>
    <s v="visited_site"/>
    <d v="2026-07-20T03:34:00"/>
  </r>
  <r>
    <x v="36"/>
    <s v="visited_site"/>
    <d v="2026-07-20T03:58:00"/>
  </r>
  <r>
    <x v="169"/>
    <s v="signup_started"/>
    <d v="2026-07-20T04:22:00"/>
  </r>
  <r>
    <x v="31"/>
    <s v="visited_site"/>
    <d v="2026-07-20T04:03:00"/>
  </r>
  <r>
    <x v="126"/>
    <s v="email_verified"/>
    <d v="2026-07-20T04:25:00"/>
  </r>
  <r>
    <x v="84"/>
    <s v="visited_site"/>
    <d v="2026-07-20T03:59:00"/>
  </r>
  <r>
    <x v="192"/>
    <s v="visited_site"/>
    <d v="2026-07-20T04:07:00"/>
  </r>
  <r>
    <x v="182"/>
    <s v="purchase_completed"/>
    <d v="2026-07-20T05:07:00"/>
  </r>
  <r>
    <x v="147"/>
    <s v="email_verified"/>
    <d v="2026-07-20T04:29:00"/>
  </r>
  <r>
    <x v="31"/>
    <s v="email_verified"/>
    <d v="2026-07-20T04:32:00"/>
  </r>
  <r>
    <x v="115"/>
    <s v="visited_site"/>
    <d v="2026-07-20T04:07:00"/>
  </r>
  <r>
    <x v="184"/>
    <s v="signup_started"/>
    <d v="2026-07-20T04:18:00"/>
  </r>
  <r>
    <x v="180"/>
    <s v="signup_started"/>
    <d v="2026-07-20T03:45:00"/>
  </r>
  <r>
    <x v="168"/>
    <s v="visited_site"/>
    <d v="2026-07-20T04:05:00"/>
  </r>
  <r>
    <x v="185"/>
    <s v="email_verified"/>
    <d v="2026-07-20T04:35:00"/>
  </r>
  <r>
    <x v="52"/>
    <s v="details_filled"/>
    <d v="2026-07-20T04:14:00"/>
  </r>
  <r>
    <x v="193"/>
    <s v="purchase_completed"/>
    <d v="2026-07-20T04:59:00"/>
  </r>
  <r>
    <x v="130"/>
    <s v="signup_started"/>
    <d v="2026-07-20T04:11:00"/>
  </r>
  <r>
    <x v="188"/>
    <s v="visited_site"/>
    <d v="2026-07-20T03:42:00"/>
  </r>
  <r>
    <x v="194"/>
    <s v="signup_started"/>
    <d v="2026-07-20T04:04:00"/>
  </r>
  <r>
    <x v="116"/>
    <s v="purchase_completed"/>
    <d v="2026-07-20T04:57:00"/>
  </r>
  <r>
    <x v="4"/>
    <s v="signup_started"/>
    <d v="2026-07-20T04:01:00"/>
  </r>
  <r>
    <x v="82"/>
    <s v="purchase_completed"/>
    <d v="2026-07-20T04:41:00"/>
  </r>
  <r>
    <x v="65"/>
    <s v="details_filled"/>
    <d v="2026-07-20T04:08:00"/>
  </r>
  <r>
    <x v="134"/>
    <s v="visited_site"/>
    <d v="2026-07-20T03:54:00"/>
  </r>
  <r>
    <x v="195"/>
    <s v="visited_site"/>
    <d v="2026-07-20T03:42:00"/>
  </r>
  <r>
    <x v="177"/>
    <s v="visited_site"/>
    <d v="2026-07-20T03:58:00"/>
  </r>
  <r>
    <x v="133"/>
    <s v="signup_started"/>
    <d v="2026-07-20T04:09:00"/>
  </r>
  <r>
    <x v="29"/>
    <s v="purchase_completed"/>
    <d v="2026-07-20T04:40:00"/>
  </r>
  <r>
    <x v="92"/>
    <s v="details_filled"/>
    <d v="2026-07-20T04:36:00"/>
  </r>
  <r>
    <x v="145"/>
    <s v="email_verified"/>
    <d v="2026-07-20T04:23:00"/>
  </r>
  <r>
    <x v="82"/>
    <s v="visited_site"/>
    <d v="2026-07-20T03:41:00"/>
  </r>
  <r>
    <x v="191"/>
    <s v="visited_site"/>
    <d v="2026-07-20T03:54:00"/>
  </r>
  <r>
    <x v="152"/>
    <s v="details_filled"/>
    <d v="2026-07-20T04:35:00"/>
  </r>
  <r>
    <x v="166"/>
    <s v="visited_site"/>
    <d v="2026-07-20T03:57:00"/>
  </r>
  <r>
    <x v="117"/>
    <s v="visited_site"/>
    <d v="2026-07-20T03:47:00"/>
  </r>
  <r>
    <x v="157"/>
    <s v="visited_site"/>
    <d v="2026-07-20T03:55:00"/>
  </r>
  <r>
    <x v="184"/>
    <s v="details_filled"/>
    <d v="2026-07-20T04:12:00"/>
  </r>
  <r>
    <x v="129"/>
    <s v="signup_started"/>
    <d v="2026-07-20T04:11:00"/>
  </r>
  <r>
    <x v="196"/>
    <s v="visited_site"/>
    <d v="2026-07-20T04:00:00"/>
  </r>
  <r>
    <x v="153"/>
    <s v="visited_site"/>
    <d v="2026-07-20T03:41:00"/>
  </r>
  <r>
    <x v="167"/>
    <s v="visited_site"/>
    <d v="2026-07-20T03:43:00"/>
  </r>
  <r>
    <x v="101"/>
    <s v="visited_site"/>
    <d v="2026-07-20T04:04:00"/>
  </r>
  <r>
    <x v="15"/>
    <s v="email_verified"/>
    <d v="2026-07-20T04:15:00"/>
  </r>
  <r>
    <x v="67"/>
    <s v="signup_started"/>
    <d v="2026-07-20T04:21:00"/>
  </r>
  <r>
    <x v="140"/>
    <s v="visited_site"/>
    <d v="2026-07-20T03:33:00"/>
  </r>
  <r>
    <x v="72"/>
    <s v="purchase_completed"/>
    <d v="2026-07-20T04:39:00"/>
  </r>
  <r>
    <x v="58"/>
    <s v="signup_started"/>
    <d v="2026-07-20T04:16:00"/>
  </r>
  <r>
    <x v="12"/>
    <s v="details_filled"/>
    <d v="2026-07-20T04:11:00"/>
  </r>
  <r>
    <x v="6"/>
    <s v="email_verified"/>
    <d v="2026-07-20T04:34:00"/>
  </r>
  <r>
    <x v="165"/>
    <s v="details_filled"/>
    <d v="2026-07-20T04:19:00"/>
  </r>
  <r>
    <x v="49"/>
    <s v="details_filled"/>
    <d v="2026-07-20T04:23:00"/>
  </r>
  <r>
    <x v="34"/>
    <s v="details_filled"/>
    <d v="2026-07-20T04:30:00"/>
  </r>
  <r>
    <x v="153"/>
    <s v="purchase_completed"/>
    <d v="2026-07-20T04:53:00"/>
  </r>
  <r>
    <x v="47"/>
    <s v="details_filled"/>
    <d v="2026-07-20T04:19:00"/>
  </r>
  <r>
    <x v="148"/>
    <s v="signup_started"/>
    <d v="2026-07-20T03:50:00"/>
  </r>
  <r>
    <x v="72"/>
    <s v="signup_started"/>
    <d v="2026-07-20T03:48:00"/>
  </r>
  <r>
    <x v="181"/>
    <s v="details_filled"/>
    <d v="2026-07-20T04:16:00"/>
  </r>
  <r>
    <x v="53"/>
    <s v="details_filled"/>
    <d v="2026-07-20T04:37:00"/>
  </r>
  <r>
    <x v="62"/>
    <s v="details_filled"/>
    <d v="2026-07-20T04:07:00"/>
  </r>
  <r>
    <x v="128"/>
    <s v="signup_started"/>
    <d v="2026-07-20T04:17:00"/>
  </r>
  <r>
    <x v="183"/>
    <s v="signup_started"/>
    <d v="2026-07-20T04:20:00"/>
  </r>
  <r>
    <x v="185"/>
    <s v="visited_site"/>
    <d v="2026-07-20T03:42:00"/>
  </r>
  <r>
    <x v="10"/>
    <s v="visited_site"/>
    <d v="2026-07-20T03:43:00"/>
  </r>
  <r>
    <x v="0"/>
    <s v="visited_site"/>
    <d v="2026-07-20T04:04:00"/>
  </r>
  <r>
    <x v="197"/>
    <s v="visited_site"/>
    <d v="2026-07-20T03:58:00"/>
  </r>
  <r>
    <x v="144"/>
    <s v="signup_started"/>
    <d v="2026-07-20T03:56:00"/>
  </r>
  <r>
    <x v="114"/>
    <s v="visited_site"/>
    <d v="2026-07-20T03:51:00"/>
  </r>
  <r>
    <x v="77"/>
    <s v="signup_started"/>
    <d v="2026-07-20T04:20:00"/>
  </r>
  <r>
    <x v="99"/>
    <s v="visited_site"/>
    <d v="2026-07-20T03:36:00"/>
  </r>
  <r>
    <x v="187"/>
    <s v="details_filled"/>
    <d v="2026-07-20T04:25:00"/>
  </r>
  <r>
    <x v="100"/>
    <s v="signup_started"/>
    <d v="2026-07-20T03:45:00"/>
  </r>
  <r>
    <x v="141"/>
    <s v="email_verified"/>
    <d v="2026-07-20T04:16:00"/>
  </r>
  <r>
    <x v="162"/>
    <s v="details_filled"/>
    <d v="2026-07-20T04:39:00"/>
  </r>
  <r>
    <x v="190"/>
    <s v="email_verified"/>
    <d v="2026-07-20T04:49:00"/>
  </r>
  <r>
    <x v="23"/>
    <s v="details_filled"/>
    <d v="2026-07-20T04:22:00"/>
  </r>
  <r>
    <x v="46"/>
    <s v="details_filled"/>
    <d v="2026-07-20T04:00:00"/>
  </r>
  <r>
    <x v="21"/>
    <s v="visited_site"/>
    <d v="2026-07-20T03:51:00"/>
  </r>
  <r>
    <x v="125"/>
    <s v="signup_started"/>
    <d v="2026-07-20T04:17:00"/>
  </r>
  <r>
    <x v="70"/>
    <s v="signup_started"/>
    <d v="2026-07-20T03:48:00"/>
  </r>
  <r>
    <x v="180"/>
    <s v="visited_site"/>
    <d v="2026-07-20T03:55:00"/>
  </r>
  <r>
    <x v="182"/>
    <s v="visited_site"/>
    <d v="2026-07-20T04:00:00"/>
  </r>
  <r>
    <x v="136"/>
    <s v="details_filled"/>
    <d v="2026-07-20T04:10:00"/>
  </r>
  <r>
    <x v="146"/>
    <s v="visited_site"/>
    <d v="2026-07-20T03:37:00"/>
  </r>
  <r>
    <x v="4"/>
    <s v="email_verified"/>
    <d v="2026-07-20T04:33:00"/>
  </r>
  <r>
    <x v="143"/>
    <s v="visited_site"/>
    <d v="2026-07-20T03:57:00"/>
  </r>
  <r>
    <x v="178"/>
    <s v="details_filled"/>
    <d v="2026-07-20T04:31:00"/>
  </r>
  <r>
    <x v="164"/>
    <s v="visited_site"/>
    <d v="2026-07-20T03:55:00"/>
  </r>
  <r>
    <x v="158"/>
    <s v="visited_site"/>
    <d v="2026-07-20T04:01:00"/>
  </r>
  <r>
    <x v="79"/>
    <s v="visited_site"/>
    <d v="2026-07-20T03:38:00"/>
  </r>
  <r>
    <x v="195"/>
    <s v="details_filled"/>
    <d v="2026-07-20T04:05:00"/>
  </r>
  <r>
    <x v="198"/>
    <s v="details_filled"/>
    <d v="2026-07-20T04:33:00"/>
  </r>
  <r>
    <x v="80"/>
    <s v="visited_site"/>
    <d v="2026-07-20T04:09:00"/>
  </r>
  <r>
    <x v="77"/>
    <s v="details_filled"/>
    <d v="2026-07-20T04:20:00"/>
  </r>
  <r>
    <x v="189"/>
    <s v="visited_site"/>
    <d v="2026-07-20T03:34:00"/>
  </r>
  <r>
    <x v="142"/>
    <s v="email_verified"/>
    <d v="2026-07-20T04:53:00"/>
  </r>
  <r>
    <x v="197"/>
    <s v="details_filled"/>
    <d v="2026-07-20T04:09:00"/>
  </r>
  <r>
    <x v="151"/>
    <s v="visited_site"/>
    <d v="2026-07-20T03:58:00"/>
  </r>
  <r>
    <x v="189"/>
    <s v="signup_started"/>
    <d v="2026-07-20T04:23:00"/>
  </r>
  <r>
    <x v="140"/>
    <s v="email_verified"/>
    <d v="2026-07-20T04:41:00"/>
  </r>
  <r>
    <x v="35"/>
    <s v="signup_started"/>
    <d v="2026-07-20T04:20:00"/>
  </r>
  <r>
    <x v="90"/>
    <s v="signup_started"/>
    <d v="2026-07-20T03:58:00"/>
  </r>
  <r>
    <x v="199"/>
    <s v="visited_site"/>
    <d v="2026-07-20T03:57:00"/>
  </r>
  <r>
    <x v="124"/>
    <s v="email_verified"/>
    <d v="2026-07-20T04:48:00"/>
  </r>
  <r>
    <x v="176"/>
    <s v="visited_site"/>
    <d v="2026-07-20T03:43:00"/>
  </r>
  <r>
    <x v="40"/>
    <s v="email_verified"/>
    <d v="2026-07-20T04:29:00"/>
  </r>
  <r>
    <x v="111"/>
    <s v="purchase_completed"/>
    <d v="2026-07-20T04:48:00"/>
  </r>
  <r>
    <x v="193"/>
    <s v="visited_site"/>
    <d v="2026-07-20T04:04:00"/>
  </r>
  <r>
    <x v="163"/>
    <s v="visited_site"/>
    <d v="2026-07-20T04:02:00"/>
  </r>
  <r>
    <x v="147"/>
    <s v="visited_site"/>
    <d v="2026-07-20T03:57:00"/>
  </r>
  <r>
    <x v="26"/>
    <s v="details_filled"/>
    <d v="2026-07-20T04:18:00"/>
  </r>
  <r>
    <x v="8"/>
    <s v="email_verified"/>
    <d v="2026-07-20T04:49:00"/>
  </r>
  <r>
    <x v="174"/>
    <s v="signup_started"/>
    <d v="2026-07-20T03:57:00"/>
  </r>
  <r>
    <x v="194"/>
    <s v="purchase_completed"/>
    <d v="2026-07-20T04:47:00"/>
  </r>
  <r>
    <x v="176"/>
    <s v="signup_started"/>
    <d v="2026-07-20T03:46:00"/>
  </r>
  <r>
    <x v="17"/>
    <s v="signup_started"/>
    <d v="2026-07-20T03:58:00"/>
  </r>
  <r>
    <x v="29"/>
    <s v="signup_started"/>
    <d v="2026-07-20T03:59:00"/>
  </r>
  <r>
    <x v="30"/>
    <s v="purchase_completed"/>
    <d v="2026-07-20T04:37:00"/>
  </r>
  <r>
    <x v="167"/>
    <s v="purchase_completed"/>
    <d v="2026-07-20T05:08:00"/>
  </r>
  <r>
    <x v="66"/>
    <s v="visited_site"/>
    <d v="2026-07-20T03:51:00"/>
  </r>
  <r>
    <x v="62"/>
    <s v="visited_site"/>
    <d v="2026-07-20T04:01:00"/>
  </r>
  <r>
    <x v="163"/>
    <s v="email_verified"/>
    <d v="2026-07-20T04:43:00"/>
  </r>
  <r>
    <x v="149"/>
    <s v="purchase_completed"/>
    <d v="2026-07-20T05:04:00"/>
  </r>
  <r>
    <x v="186"/>
    <s v="signup_started"/>
    <d v="2026-07-20T04:20:00"/>
  </r>
  <r>
    <x v="99"/>
    <s v="purchase_completed"/>
    <d v="2026-07-20T04:59:00"/>
  </r>
  <r>
    <x v="138"/>
    <s v="signup_started"/>
    <d v="2026-07-20T04:20:00"/>
  </r>
  <r>
    <x v="56"/>
    <s v="visited_site"/>
    <d v="2026-07-20T03:51:00"/>
  </r>
  <r>
    <x v="199"/>
    <s v="details_filled"/>
    <d v="2026-07-20T04:23:00"/>
  </r>
  <r>
    <x v="198"/>
    <s v="visited_site"/>
    <d v="2026-07-20T04:08:00"/>
  </r>
  <r>
    <x v="63"/>
    <s v="details_filled"/>
    <d v="2026-07-20T04:14:00"/>
  </r>
  <r>
    <x v="66"/>
    <s v="signup_started"/>
    <d v="2026-07-20T04:05:00"/>
  </r>
  <r>
    <x v="78"/>
    <s v="visited_site"/>
    <d v="2026-07-20T03:35:00"/>
  </r>
  <r>
    <x v="15"/>
    <s v="visited_site"/>
    <d v="2026-07-20T03:47:00"/>
  </r>
  <r>
    <x v="171"/>
    <s v="details_filled"/>
    <d v="2026-07-20T04:02:00"/>
  </r>
  <r>
    <x v="194"/>
    <s v="visited_site"/>
    <d v="2026-07-20T04:04:00"/>
  </r>
  <r>
    <x v="19"/>
    <s v="details_filled"/>
    <d v="2026-07-20T04:20:00"/>
  </r>
  <r>
    <x v="144"/>
    <s v="visited_site"/>
    <d v="2026-07-20T03:32:00"/>
  </r>
  <r>
    <x v="190"/>
    <s v="visited_site"/>
    <d v="2026-07-20T04:05:00"/>
  </r>
  <r>
    <x v="173"/>
    <s v="details_filled"/>
    <d v="2026-07-20T04:06:00"/>
  </r>
  <r>
    <x v="179"/>
    <s v="visited_site"/>
    <d v="2026-07-20T04:06:00"/>
  </r>
  <r>
    <x v="17"/>
    <s v="details_filled"/>
    <d v="2026-07-20T04:28:00"/>
  </r>
  <r>
    <x v="83"/>
    <s v="visited_site"/>
    <d v="2026-07-20T04:01:00"/>
  </r>
  <r>
    <x v="196"/>
    <s v="details_filled"/>
    <d v="2026-07-20T04:20:00"/>
  </r>
  <r>
    <x v="2"/>
    <s v="email_verified"/>
    <d v="2026-07-20T04:34:00"/>
  </r>
  <r>
    <x v="192"/>
    <s v="details_filled"/>
    <d v="2026-07-20T04:16:00"/>
  </r>
  <r>
    <x v="71"/>
    <s v="email_verified"/>
    <d v="2026-07-20T04:27:00"/>
  </r>
  <r>
    <x v="155"/>
    <s v="email_verified"/>
    <d v="2026-07-20T04:16:00"/>
  </r>
  <r>
    <x v="23"/>
    <s v="signup_started"/>
    <d v="2026-07-20T04:00:00"/>
  </r>
  <r>
    <x v="166"/>
    <s v="signup_started"/>
    <d v="2026-07-20T03:57:00"/>
  </r>
  <r>
    <x v="177"/>
    <s v="email_verified"/>
    <d v="2026-07-20T04:49:00"/>
  </r>
  <r>
    <x v="102"/>
    <s v="details_filled"/>
    <d v="2026-07-20T04:11:00"/>
  </r>
  <r>
    <x v="26"/>
    <s v="signup_started"/>
    <d v="2026-07-20T04:02:00"/>
  </r>
  <r>
    <x v="28"/>
    <s v="visited_site"/>
    <d v="2026-07-20T04:02:00"/>
  </r>
  <r>
    <x v="139"/>
    <s v="purchase_completed"/>
    <d v="2026-07-20T04:56:00"/>
  </r>
  <r>
    <x v="175"/>
    <s v="details_filled"/>
    <d v="2026-07-20T04:30:00"/>
  </r>
  <r>
    <x v="160"/>
    <s v="details_filled"/>
    <d v="2026-07-20T04:36:00"/>
  </r>
  <r>
    <x v="193"/>
    <s v="signup_started"/>
    <d v="2026-07-20T04:15:00"/>
  </r>
  <r>
    <x v="120"/>
    <s v="details_filled"/>
    <d v="2026-07-20T04:03:00"/>
  </r>
  <r>
    <x v="9"/>
    <s v="visited_site"/>
    <d v="2026-07-20T03:46:00"/>
  </r>
  <r>
    <x v="32"/>
    <s v="purchase_completed"/>
    <d v="2026-07-20T04:52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B4E7A-D4AA-41E4-BC19-D575BCDFBE00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user_i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unnel_events_sample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FE3BD-6A1A-4384-9914-8EF2297D171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04" firstHeaderRow="1" firstDataRow="1" firstDataCol="1"/>
  <pivotFields count="3">
    <pivotField axis="axisRow" showAll="0">
      <items count="201">
        <item x="180"/>
        <item x="46"/>
        <item x="75"/>
        <item x="77"/>
        <item x="5"/>
        <item x="52"/>
        <item x="13"/>
        <item x="172"/>
        <item x="65"/>
        <item x="66"/>
        <item x="58"/>
        <item x="28"/>
        <item x="23"/>
        <item x="9"/>
        <item x="95"/>
        <item x="37"/>
        <item x="56"/>
        <item x="179"/>
        <item x="62"/>
        <item x="108"/>
        <item x="125"/>
        <item x="57"/>
        <item x="118"/>
        <item x="14"/>
        <item x="17"/>
        <item x="154"/>
        <item x="33"/>
        <item x="144"/>
        <item x="53"/>
        <item x="39"/>
        <item x="50"/>
        <item x="49"/>
        <item x="21"/>
        <item x="26"/>
        <item x="70"/>
        <item x="120"/>
        <item x="166"/>
        <item x="184"/>
        <item x="162"/>
        <item x="93"/>
        <item x="11"/>
        <item x="143"/>
        <item x="130"/>
        <item x="138"/>
        <item x="19"/>
        <item x="45"/>
        <item x="107"/>
        <item x="94"/>
        <item x="158"/>
        <item x="43"/>
        <item x="3"/>
        <item x="10"/>
        <item x="147"/>
        <item x="44"/>
        <item x="135"/>
        <item x="163"/>
        <item x="103"/>
        <item x="183"/>
        <item x="15"/>
        <item x="140"/>
        <item x="190"/>
        <item x="90"/>
        <item x="129"/>
        <item x="146"/>
        <item x="185"/>
        <item x="4"/>
        <item x="101"/>
        <item x="96"/>
        <item x="142"/>
        <item x="98"/>
        <item x="8"/>
        <item x="2"/>
        <item x="40"/>
        <item x="155"/>
        <item x="119"/>
        <item x="48"/>
        <item x="6"/>
        <item x="159"/>
        <item x="61"/>
        <item x="112"/>
        <item x="128"/>
        <item x="133"/>
        <item x="176"/>
        <item x="174"/>
        <item x="123"/>
        <item x="126"/>
        <item x="141"/>
        <item x="35"/>
        <item x="145"/>
        <item x="41"/>
        <item x="124"/>
        <item x="31"/>
        <item x="25"/>
        <item x="177"/>
        <item x="71"/>
        <item x="156"/>
        <item x="67"/>
        <item x="69"/>
        <item x="139"/>
        <item x="149"/>
        <item x="72"/>
        <item x="111"/>
        <item x="82"/>
        <item x="99"/>
        <item x="24"/>
        <item x="153"/>
        <item x="167"/>
        <item x="182"/>
        <item x="168"/>
        <item x="0"/>
        <item x="161"/>
        <item x="80"/>
        <item x="59"/>
        <item x="84"/>
        <item x="115"/>
        <item x="114"/>
        <item x="74"/>
        <item x="100"/>
        <item x="127"/>
        <item x="79"/>
        <item x="86"/>
        <item x="68"/>
        <item x="106"/>
        <item x="157"/>
        <item x="42"/>
        <item x="169"/>
        <item x="121"/>
        <item x="116"/>
        <item x="189"/>
        <item x="193"/>
        <item x="186"/>
        <item x="97"/>
        <item x="32"/>
        <item x="29"/>
        <item x="36"/>
        <item x="22"/>
        <item x="105"/>
        <item x="30"/>
        <item x="148"/>
        <item x="54"/>
        <item x="1"/>
        <item x="194"/>
        <item x="89"/>
        <item x="117"/>
        <item x="83"/>
        <item x="191"/>
        <item x="113"/>
        <item x="110"/>
        <item x="170"/>
        <item x="104"/>
        <item x="151"/>
        <item x="131"/>
        <item x="64"/>
        <item x="38"/>
        <item x="160"/>
        <item x="27"/>
        <item x="188"/>
        <item x="60"/>
        <item x="18"/>
        <item x="134"/>
        <item x="137"/>
        <item x="55"/>
        <item x="88"/>
        <item x="51"/>
        <item x="164"/>
        <item x="20"/>
        <item x="165"/>
        <item x="92"/>
        <item x="78"/>
        <item x="12"/>
        <item x="152"/>
        <item x="73"/>
        <item x="171"/>
        <item x="199"/>
        <item x="136"/>
        <item x="16"/>
        <item x="122"/>
        <item x="196"/>
        <item x="181"/>
        <item x="91"/>
        <item x="81"/>
        <item x="87"/>
        <item x="173"/>
        <item x="102"/>
        <item x="7"/>
        <item x="178"/>
        <item x="34"/>
        <item x="109"/>
        <item x="187"/>
        <item x="132"/>
        <item x="175"/>
        <item x="47"/>
        <item x="76"/>
        <item x="197"/>
        <item x="192"/>
        <item x="63"/>
        <item x="198"/>
        <item x="195"/>
        <item x="150"/>
        <item x="85"/>
        <item t="default"/>
      </items>
    </pivotField>
    <pivotField showAll="0"/>
    <pivotField numFmtId="22"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56B43-FDE5-4E0E-96D8-745BDAC205AC}" name="Table1" displayName="Table1" ref="A1:C543" totalsRowShown="0">
  <autoFilter ref="A1:C543" xr:uid="{11056B43-FDE5-4E0E-96D8-745BDAC205AC}">
    <filterColumn colId="1">
      <filters>
        <filter val="email_verified"/>
      </filters>
    </filterColumn>
  </autoFilter>
  <sortState xmlns:xlrd2="http://schemas.microsoft.com/office/spreadsheetml/2017/richdata2" ref="A72:C533">
    <sortCondition ref="A1:A543"/>
  </sortState>
  <tableColumns count="3">
    <tableColumn id="1" xr3:uid="{6F621254-2992-4816-81D2-0BE550C591FD}" name="user_id"/>
    <tableColumn id="2" xr3:uid="{D2C764E2-1AAB-4614-8C58-C7D552265216}" name="step"/>
    <tableColumn id="3" xr3:uid="{AD75D558-8F98-4520-BEC6-F6498F75403C}" name="timestam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8F01-790A-49E2-956C-84CA09DEE3DC}">
  <dimension ref="A3:B9"/>
  <sheetViews>
    <sheetView zoomScale="65" workbookViewId="0">
      <selection activeCell="N26" sqref="N26"/>
    </sheetView>
  </sheetViews>
  <sheetFormatPr defaultRowHeight="15"/>
  <cols>
    <col min="1" max="1" width="23.7109375" bestFit="1" customWidth="1"/>
    <col min="2" max="2" width="32.42578125" bestFit="1" customWidth="1"/>
  </cols>
  <sheetData>
    <row r="3" spans="1:2">
      <c r="A3" s="2" t="s">
        <v>208</v>
      </c>
      <c r="B3" t="s">
        <v>210</v>
      </c>
    </row>
    <row r="4" spans="1:2">
      <c r="A4" s="3" t="s">
        <v>33</v>
      </c>
      <c r="B4">
        <v>96</v>
      </c>
    </row>
    <row r="5" spans="1:2">
      <c r="A5" s="3" t="s">
        <v>69</v>
      </c>
      <c r="B5">
        <v>52</v>
      </c>
    </row>
    <row r="6" spans="1:2">
      <c r="A6" s="3" t="s">
        <v>36</v>
      </c>
      <c r="B6">
        <v>44</v>
      </c>
    </row>
    <row r="7" spans="1:2">
      <c r="A7" s="3" t="s">
        <v>4</v>
      </c>
      <c r="B7">
        <v>150</v>
      </c>
    </row>
    <row r="8" spans="1:2">
      <c r="A8" s="3" t="s">
        <v>6</v>
      </c>
      <c r="B8">
        <v>200</v>
      </c>
    </row>
    <row r="9" spans="1:2">
      <c r="A9" s="3" t="s">
        <v>209</v>
      </c>
      <c r="B9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8BDD-F205-4679-AF58-A2BF59EFD0CD}">
  <dimension ref="A1:I6"/>
  <sheetViews>
    <sheetView zoomScale="82" workbookViewId="0">
      <selection activeCell="C27" sqref="C27"/>
    </sheetView>
  </sheetViews>
  <sheetFormatPr defaultRowHeight="15"/>
  <cols>
    <col min="1" max="1" width="19.7109375" bestFit="1" customWidth="1"/>
    <col min="2" max="2" width="12.7109375" bestFit="1" customWidth="1"/>
    <col min="3" max="3" width="15.28515625" bestFit="1" customWidth="1"/>
    <col min="4" max="4" width="10" bestFit="1" customWidth="1"/>
    <col min="5" max="5" width="12.5703125" bestFit="1" customWidth="1"/>
    <col min="6" max="6" width="10.7109375" bestFit="1" customWidth="1"/>
    <col min="7" max="7" width="20.140625" bestFit="1" customWidth="1"/>
    <col min="8" max="8" width="12.28515625" bestFit="1" customWidth="1"/>
    <col min="9" max="9" width="13.140625" bestFit="1" customWidth="1"/>
    <col min="10" max="10" width="19.7109375" bestFit="1" customWidth="1"/>
  </cols>
  <sheetData>
    <row r="1" spans="1:9">
      <c r="A1" t="s">
        <v>211</v>
      </c>
      <c r="B1" t="s">
        <v>212</v>
      </c>
      <c r="C1" t="s">
        <v>213</v>
      </c>
      <c r="D1" t="s">
        <v>214</v>
      </c>
      <c r="E1" t="s">
        <v>216</v>
      </c>
      <c r="G1" t="s">
        <v>215</v>
      </c>
      <c r="I1" s="6" t="s">
        <v>216</v>
      </c>
    </row>
    <row r="2" spans="1:9">
      <c r="A2" t="s">
        <v>6</v>
      </c>
      <c r="B2">
        <f>GETPIVOTDATA("[Measures].[Distinct Count of user_id]",Sheet1!$A$3)</f>
        <v>200</v>
      </c>
      <c r="C2" s="5">
        <v>1</v>
      </c>
      <c r="D2">
        <v>0</v>
      </c>
      <c r="E2" s="4">
        <v>0</v>
      </c>
      <c r="G2" t="str">
        <f>INDEX(A2:A6,MATCH(MAX(E2:E6),E2:E6,0))</f>
        <v>email_verified</v>
      </c>
      <c r="I2" s="7">
        <f>MAX(E2:E6)</f>
        <v>0.45833333333333331</v>
      </c>
    </row>
    <row r="3" spans="1:9">
      <c r="A3" t="s">
        <v>4</v>
      </c>
      <c r="B3">
        <f>GETPIVOTDATA("[Measures].[Distinct Count of user_id]",Sheet1!$A$3,"[Table1].[step]","[Table1].[step].&amp;[signup_started]")</f>
        <v>150</v>
      </c>
      <c r="C3" s="5">
        <f>B3/B2</f>
        <v>0.75</v>
      </c>
      <c r="D3">
        <f>B2-B3</f>
        <v>50</v>
      </c>
      <c r="E3" s="5">
        <f>D3/B2</f>
        <v>0.25</v>
      </c>
    </row>
    <row r="4" spans="1:9">
      <c r="A4" t="s">
        <v>33</v>
      </c>
      <c r="B4">
        <f>GETPIVOTDATA("[Measures].[Distinct Count of user_id]",Sheet1!$A$3,"[Table1].[step]","[Table1].[step].&amp;[details_filled]")</f>
        <v>96</v>
      </c>
      <c r="C4" s="5">
        <f>B4/B3</f>
        <v>0.64</v>
      </c>
      <c r="D4">
        <f>B3-B4</f>
        <v>54</v>
      </c>
      <c r="E4" s="5">
        <f>D4/B3</f>
        <v>0.36</v>
      </c>
      <c r="G4" t="s">
        <v>217</v>
      </c>
    </row>
    <row r="5" spans="1:9">
      <c r="A5" t="s">
        <v>69</v>
      </c>
      <c r="B5">
        <f>GETPIVOTDATA("[Measures].[Distinct Count of user_id]",Sheet1!$A$3,"[Table1].[step]","[Table1].[step].&amp;[email_verified]")</f>
        <v>52</v>
      </c>
      <c r="C5" s="5">
        <f>B5/B4</f>
        <v>0.54166666666666663</v>
      </c>
      <c r="D5">
        <f>B4-B5</f>
        <v>44</v>
      </c>
      <c r="E5" s="5">
        <f>D5/B4</f>
        <v>0.45833333333333331</v>
      </c>
      <c r="G5" t="str">
        <f>"Biggest funnel leak: Details Filled -&gt; Email Verified ("&amp;TEXT(I2,"0.00%")&amp;" drop-off)"</f>
        <v>Biggest funnel leak: Details Filled -&gt; Email Verified (45.83% drop-off)</v>
      </c>
    </row>
    <row r="6" spans="1:9">
      <c r="A6" t="s">
        <v>36</v>
      </c>
      <c r="B6">
        <f>GETPIVOTDATA("[Measures].[Distinct Count of user_id]",Sheet1!$A$3,"[Table1].[step]","[Table1].[step].&amp;[purchase_completed]")</f>
        <v>44</v>
      </c>
      <c r="C6" s="5">
        <f>B6/B5</f>
        <v>0.84615384615384615</v>
      </c>
      <c r="D6">
        <f>B5-B6</f>
        <v>8</v>
      </c>
      <c r="E6" s="5">
        <f>D6/B5</f>
        <v>0.15384615384615385</v>
      </c>
    </row>
  </sheetData>
  <conditionalFormatting sqref="E2:E6">
    <cfRule type="expression" dxfId="0" priority="1">
      <formula>E2=MAX($E$2:$E$6)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4296-4DA5-41E9-9227-CBE71415AEFE}">
  <dimension ref="A1:N284"/>
  <sheetViews>
    <sheetView tabSelected="1" zoomScale="85" workbookViewId="0">
      <selection activeCell="N5" sqref="M2:N5"/>
    </sheetView>
  </sheetViews>
  <sheetFormatPr defaultRowHeight="15"/>
  <cols>
    <col min="1" max="1" width="7.28515625" bestFit="1" customWidth="1"/>
    <col min="2" max="2" width="7" bestFit="1" customWidth="1"/>
    <col min="3" max="4" width="7.140625" bestFit="1" customWidth="1"/>
    <col min="5" max="5" width="15.7109375" customWidth="1"/>
    <col min="6" max="6" width="21.42578125" customWidth="1"/>
    <col min="7" max="7" width="13.42578125" customWidth="1"/>
    <col min="8" max="8" width="15.5703125" bestFit="1" customWidth="1"/>
    <col min="9" max="9" width="14.28515625" bestFit="1" customWidth="1"/>
    <col min="10" max="10" width="16.5703125" bestFit="1" customWidth="1"/>
    <col min="12" max="12" width="16.5703125" bestFit="1" customWidth="1"/>
    <col min="13" max="13" width="12.5703125" bestFit="1" customWidth="1"/>
    <col min="14" max="14" width="10.85546875" bestFit="1" customWidth="1"/>
  </cols>
  <sheetData>
    <row r="1" spans="1:14" ht="30">
      <c r="A1" s="8" t="s">
        <v>218</v>
      </c>
      <c r="B1" s="8" t="s">
        <v>219</v>
      </c>
      <c r="C1" s="8" t="s">
        <v>220</v>
      </c>
      <c r="D1" s="8" t="s">
        <v>221</v>
      </c>
      <c r="E1" s="8" t="s">
        <v>69</v>
      </c>
      <c r="F1" s="8" t="s">
        <v>36</v>
      </c>
      <c r="G1" s="8" t="s">
        <v>222</v>
      </c>
      <c r="H1" s="8" t="s">
        <v>223</v>
      </c>
      <c r="I1" s="8" t="s">
        <v>224</v>
      </c>
      <c r="J1" s="10" t="s">
        <v>225</v>
      </c>
      <c r="L1" s="10" t="s">
        <v>226</v>
      </c>
      <c r="M1" s="10" t="s">
        <v>227</v>
      </c>
      <c r="N1" s="8" t="s">
        <v>228</v>
      </c>
    </row>
    <row r="2" spans="1:14">
      <c r="A2" s="3" t="s">
        <v>188</v>
      </c>
      <c r="B2" s="9">
        <f>IF(COUNTIFS(funnel_events_sample!$A$2:$A$543,$A2,funnel_events_sample!$B$2:$B$543,"visited_site")=0,"",_xlfn.MINIFS(funnel_events_sample!$C$2:$C$543,funnel_events_sample!$A$2:$A$543,$A2,funnel_events_sample!$B$2:$B$543,"visited_site"))</f>
        <v>46223.163194444445</v>
      </c>
      <c r="C2" s="9">
        <f>IF(COUNTIFS(funnel_events_sample!$A$2:$A$543,$A2,funnel_events_sample!$B$2:$B$543,"signup_started")=0,"",_xlfn.MINIFS(funnel_events_sample!$C$2:$C$543,funnel_events_sample!$A$2:$A$543,$A2,funnel_events_sample!$B$2:$B$543,"signup_started"))</f>
        <v>46223.15625</v>
      </c>
      <c r="D2" s="9">
        <f>IF(COUNTIFS(funnel_events_sample!$A$2:$A$543,$A2,funnel_events_sample!$B$2:$B$543,"details_filled")=0,"",_xlfn.MINIFS(funnel_events_sample!$C$2:$C$543,funnel_events_sample!$A$2:$A$543,$A2,funnel_events_sample!$B$2:$B$543,"details_filled"))</f>
        <v>46223.173611111109</v>
      </c>
      <c r="E2" s="9" t="str">
        <f>IF(COUNTIFS(funnel_events_sample!$A$2:$A$543,$A2,funnel_events_sample!$B$2:$B$543,"email_verified")=0,"",_xlfn.MINIFS(funnel_events_sample!$C$2:$C$543,funnel_events_sample!$A$2:$A$543,$A2,funnel_events_sample!$B$2:$B$543,"email_verified"))</f>
        <v/>
      </c>
      <c r="F2" s="9" t="str">
        <f>IF(COUNTIFS(funnel_events_sample!$A$2:$A$543,$A2,funnel_events_sample!$B$2:$B$543,"purchase_completed")=0,"",_xlfn.MINIFS(funnel_events_sample!$C$2:$C$543,funnel_events_sample!$A$2:$A$543,$A2,funnel_events_sample!$B$2:$B$543,"purchase_completed"))</f>
        <v/>
      </c>
      <c r="G2" s="11" t="str">
        <f>IF(OR(B2="",C2="",C2&lt;B2),"",C2-B2)</f>
        <v/>
      </c>
      <c r="H2" s="11">
        <f>IF(OR(C2="",D2="",D2&lt;C2),"",D2-C2)</f>
        <v>1.7361111109494232E-2</v>
      </c>
      <c r="I2" s="11" t="str">
        <f>IF(OR(D2="",E2="",E2&lt;D2),"",E2-D2)</f>
        <v/>
      </c>
      <c r="J2" s="11" t="str">
        <f>IF(OR(E2="",F2="",F2&lt;E2),"",F2-E2)</f>
        <v/>
      </c>
      <c r="L2" s="8" t="s">
        <v>222</v>
      </c>
      <c r="M2" s="11">
        <f>IFERROR(AVERAGE(G2:G201),"")</f>
        <v>1.4684139785458683E-2</v>
      </c>
      <c r="N2" s="11">
        <f>COUNT(G2:G201)</f>
        <v>124</v>
      </c>
    </row>
    <row r="3" spans="1:14">
      <c r="A3" s="3" t="s">
        <v>53</v>
      </c>
      <c r="B3" s="9">
        <f>IF(COUNTIFS(funnel_events_sample!$A$2:$A$543,$A3,funnel_events_sample!$B$2:$B$543,"visited_site")=0,"",_xlfn.MINIFS(funnel_events_sample!$C$2:$C$543,funnel_events_sample!$A$2:$A$543,$A3,funnel_events_sample!$B$2:$B$543,"visited_site"))</f>
        <v>46223.164583333331</v>
      </c>
      <c r="C3" s="9">
        <f>IF(COUNTIFS(funnel_events_sample!$A$2:$A$543,$A3,funnel_events_sample!$B$2:$B$543,"signup_started")=0,"",_xlfn.MINIFS(funnel_events_sample!$C$2:$C$543,funnel_events_sample!$A$2:$A$543,$A3,funnel_events_sample!$B$2:$B$543,"signup_started"))</f>
        <v>46223.167361111111</v>
      </c>
      <c r="D3" s="9">
        <f>IF(COUNTIFS(funnel_events_sample!$A$2:$A$543,$A3,funnel_events_sample!$B$2:$B$543,"details_filled")=0,"",_xlfn.MINIFS(funnel_events_sample!$C$2:$C$543,funnel_events_sample!$A$2:$A$543,$A3,funnel_events_sample!$B$2:$B$543,"details_filled"))</f>
        <v>46223.166666666664</v>
      </c>
      <c r="E3" s="9" t="str">
        <f>IF(COUNTIFS(funnel_events_sample!$A$2:$A$543,$A3,funnel_events_sample!$B$2:$B$543,"email_verified")=0,"",_xlfn.MINIFS(funnel_events_sample!$C$2:$C$543,funnel_events_sample!$A$2:$A$543,$A3,funnel_events_sample!$B$2:$B$543,"email_verified"))</f>
        <v/>
      </c>
      <c r="F3" s="9" t="str">
        <f>IF(COUNTIFS(funnel_events_sample!$A$2:$A$543,$A3,funnel_events_sample!$B$2:$B$543,"purchase_completed")=0,"",_xlfn.MINIFS(funnel_events_sample!$C$2:$C$543,funnel_events_sample!$A$2:$A$543,$A3,funnel_events_sample!$B$2:$B$543,"purchase_completed"))</f>
        <v/>
      </c>
      <c r="G3" s="11">
        <f t="shared" ref="G3:G66" si="0">IF(OR(B3="",C3="",C3&lt;B3),"",C3-B3)</f>
        <v>2.7777777795563452E-3</v>
      </c>
      <c r="H3" s="11" t="str">
        <f t="shared" ref="H3:H66" si="1">IF(OR(C3="",D3="",D3&lt;C3),"",D3-C3)</f>
        <v/>
      </c>
      <c r="I3" s="11" t="str">
        <f t="shared" ref="I3:I66" si="2">IF(OR(D3="",E3="",E3&lt;D3),"",E3-D3)</f>
        <v/>
      </c>
      <c r="J3" s="11" t="str">
        <f t="shared" ref="J3:J66" si="3">IF(OR(E3="",F3="",F3&lt;E3),"",F3-E3)</f>
        <v/>
      </c>
      <c r="L3" s="8" t="s">
        <v>223</v>
      </c>
      <c r="M3" s="11">
        <f>IFERROR(AVERAGE(H2:H201),"")</f>
        <v>1.0963804713603829E-2</v>
      </c>
      <c r="N3" s="11">
        <f>COUNT(H2:H201)</f>
        <v>33</v>
      </c>
    </row>
    <row r="4" spans="1:14">
      <c r="A4" s="3" t="s">
        <v>83</v>
      </c>
      <c r="B4" s="9">
        <f>IF(COUNTIFS(funnel_events_sample!$A$2:$A$543,$A4,funnel_events_sample!$B$2:$B$543,"visited_site")=0,"",_xlfn.MINIFS(funnel_events_sample!$C$2:$C$543,funnel_events_sample!$A$2:$A$543,$A4,funnel_events_sample!$B$2:$B$543,"visited_site"))</f>
        <v>46223.17083333333</v>
      </c>
      <c r="C4" s="9">
        <f>IF(COUNTIFS(funnel_events_sample!$A$2:$A$543,$A4,funnel_events_sample!$B$2:$B$543,"signup_started")=0,"",_xlfn.MINIFS(funnel_events_sample!$C$2:$C$543,funnel_events_sample!$A$2:$A$543,$A4,funnel_events_sample!$B$2:$B$543,"signup_started"))</f>
        <v>46223.171527777777</v>
      </c>
      <c r="D4" s="9">
        <f>IF(COUNTIFS(funnel_events_sample!$A$2:$A$543,$A4,funnel_events_sample!$B$2:$B$543,"details_filled")=0,"",_xlfn.MINIFS(funnel_events_sample!$C$2:$C$543,funnel_events_sample!$A$2:$A$543,$A4,funnel_events_sample!$B$2:$B$543,"details_filled"))</f>
        <v>46223.179166666669</v>
      </c>
      <c r="E4" s="9" t="str">
        <f>IF(COUNTIFS(funnel_events_sample!$A$2:$A$543,$A4,funnel_events_sample!$B$2:$B$543,"email_verified")=0,"",_xlfn.MINIFS(funnel_events_sample!$C$2:$C$543,funnel_events_sample!$A$2:$A$543,$A4,funnel_events_sample!$B$2:$B$543,"email_verified"))</f>
        <v/>
      </c>
      <c r="F4" s="9" t="str">
        <f>IF(COUNTIFS(funnel_events_sample!$A$2:$A$543,$A4,funnel_events_sample!$B$2:$B$543,"purchase_completed")=0,"",_xlfn.MINIFS(funnel_events_sample!$C$2:$C$543,funnel_events_sample!$A$2:$A$543,$A4,funnel_events_sample!$B$2:$B$543,"purchase_completed"))</f>
        <v/>
      </c>
      <c r="G4" s="11">
        <f t="shared" si="0"/>
        <v>6.944444467080757E-4</v>
      </c>
      <c r="H4" s="11">
        <f t="shared" si="1"/>
        <v>7.6388888919609599E-3</v>
      </c>
      <c r="I4" s="11" t="str">
        <f t="shared" si="2"/>
        <v/>
      </c>
      <c r="J4" s="11" t="str">
        <f t="shared" si="3"/>
        <v/>
      </c>
      <c r="L4" s="8" t="s">
        <v>224</v>
      </c>
      <c r="M4" s="11" t="str">
        <f>IFERROR(AVERAGE(I2:I201),"")</f>
        <v/>
      </c>
      <c r="N4" s="11">
        <f>COUNT(I2:I201)</f>
        <v>0</v>
      </c>
    </row>
    <row r="5" spans="1:14">
      <c r="A5" s="3" t="s">
        <v>85</v>
      </c>
      <c r="B5" s="9">
        <f>IF(COUNTIFS(funnel_events_sample!$A$2:$A$543,$A5,funnel_events_sample!$B$2:$B$543,"visited_site")=0,"",_xlfn.MINIFS(funnel_events_sample!$C$2:$C$543,funnel_events_sample!$A$2:$A$543,$A5,funnel_events_sample!$B$2:$B$543,"visited_site"))</f>
        <v>46223.166666666664</v>
      </c>
      <c r="C5" s="9">
        <f>IF(COUNTIFS(funnel_events_sample!$A$2:$A$543,$A5,funnel_events_sample!$B$2:$B$543,"signup_started")=0,"",_xlfn.MINIFS(funnel_events_sample!$C$2:$C$543,funnel_events_sample!$A$2:$A$543,$A5,funnel_events_sample!$B$2:$B$543,"signup_started"))</f>
        <v>46223.180555555555</v>
      </c>
      <c r="D5" s="9">
        <f>IF(COUNTIFS(funnel_events_sample!$A$2:$A$543,$A5,funnel_events_sample!$B$2:$B$543,"details_filled")=0,"",_xlfn.MINIFS(funnel_events_sample!$C$2:$C$543,funnel_events_sample!$A$2:$A$543,$A5,funnel_events_sample!$B$2:$B$543,"details_filled"))</f>
        <v>46223.180555555555</v>
      </c>
      <c r="E5" s="9" t="str">
        <f>IF(COUNTIFS(funnel_events_sample!$A$2:$A$543,$A5,funnel_events_sample!$B$2:$B$543,"email_verified")=0,"",_xlfn.MINIFS(funnel_events_sample!$C$2:$C$543,funnel_events_sample!$A$2:$A$543,$A5,funnel_events_sample!$B$2:$B$543,"email_verified"))</f>
        <v/>
      </c>
      <c r="F5" s="9" t="str">
        <f>IF(COUNTIFS(funnel_events_sample!$A$2:$A$543,$A5,funnel_events_sample!$B$2:$B$543,"purchase_completed")=0,"",_xlfn.MINIFS(funnel_events_sample!$C$2:$C$543,funnel_events_sample!$A$2:$A$543,$A5,funnel_events_sample!$B$2:$B$543,"purchase_completed"))</f>
        <v/>
      </c>
      <c r="G5" s="11">
        <f t="shared" si="0"/>
        <v>1.3888888890505768E-2</v>
      </c>
      <c r="H5" s="11">
        <f t="shared" si="1"/>
        <v>0</v>
      </c>
      <c r="I5" s="11" t="str">
        <f t="shared" si="2"/>
        <v/>
      </c>
      <c r="J5" s="11" t="str">
        <f t="shared" si="3"/>
        <v/>
      </c>
      <c r="L5" s="10" t="s">
        <v>225</v>
      </c>
      <c r="M5" s="11" t="str">
        <f>IFERROR(AVERAGE(J2:J201),"")</f>
        <v/>
      </c>
      <c r="N5" s="11">
        <f>COUNT(J2:J201)</f>
        <v>0</v>
      </c>
    </row>
    <row r="6" spans="1:14">
      <c r="A6" s="3" t="s">
        <v>10</v>
      </c>
      <c r="B6" s="9">
        <f>IF(COUNTIFS(funnel_events_sample!$A$2:$A$543,$A6,funnel_events_sample!$B$2:$B$543,"visited_site")=0,"",_xlfn.MINIFS(funnel_events_sample!$C$2:$C$543,funnel_events_sample!$A$2:$A$543,$A6,funnel_events_sample!$B$2:$B$543,"visited_site"))</f>
        <v>46223.165277777778</v>
      </c>
      <c r="C6" s="9">
        <f>IF(COUNTIFS(funnel_events_sample!$A$2:$A$543,$A6,funnel_events_sample!$B$2:$B$543,"signup_started")=0,"",_xlfn.MINIFS(funnel_events_sample!$C$2:$C$543,funnel_events_sample!$A$2:$A$543,$A6,funnel_events_sample!$B$2:$B$543,"signup_started"))</f>
        <v>46223.161805555559</v>
      </c>
      <c r="D6" s="9">
        <f>IF(COUNTIFS(funnel_events_sample!$A$2:$A$543,$A6,funnel_events_sample!$B$2:$B$543,"details_filled")=0,"",_xlfn.MINIFS(funnel_events_sample!$C$2:$C$543,funnel_events_sample!$A$2:$A$543,$A6,funnel_events_sample!$B$2:$B$543,"details_filled"))</f>
        <v>46223.173611111109</v>
      </c>
      <c r="E6" s="9" t="str">
        <f>IF(COUNTIFS(funnel_events_sample!$A$2:$A$543,$A6,funnel_events_sample!$B$2:$B$543,"email_verified")=0,"",_xlfn.MINIFS(funnel_events_sample!$C$2:$C$543,funnel_events_sample!$A$2:$A$543,$A6,funnel_events_sample!$B$2:$B$543,"email_verified"))</f>
        <v/>
      </c>
      <c r="F6" s="9" t="str">
        <f>IF(COUNTIFS(funnel_events_sample!$A$2:$A$543,$A6,funnel_events_sample!$B$2:$B$543,"purchase_completed")=0,"",_xlfn.MINIFS(funnel_events_sample!$C$2:$C$543,funnel_events_sample!$A$2:$A$543,$A6,funnel_events_sample!$B$2:$B$543,"purchase_completed"))</f>
        <v/>
      </c>
      <c r="G6" s="11" t="str">
        <f t="shared" si="0"/>
        <v/>
      </c>
      <c r="H6" s="11">
        <f t="shared" si="1"/>
        <v>1.1805555550381541E-2</v>
      </c>
      <c r="I6" s="11" t="str">
        <f t="shared" si="2"/>
        <v/>
      </c>
      <c r="J6" s="11" t="str">
        <f t="shared" si="3"/>
        <v/>
      </c>
    </row>
    <row r="7" spans="1:14">
      <c r="A7" s="3" t="s">
        <v>59</v>
      </c>
      <c r="B7" s="9">
        <f>IF(COUNTIFS(funnel_events_sample!$A$2:$A$543,$A7,funnel_events_sample!$B$2:$B$543,"visited_site")=0,"",_xlfn.MINIFS(funnel_events_sample!$C$2:$C$543,funnel_events_sample!$A$2:$A$543,$A7,funnel_events_sample!$B$2:$B$543,"visited_site"))</f>
        <v>46223.168749999997</v>
      </c>
      <c r="C7" s="9">
        <f>IF(COUNTIFS(funnel_events_sample!$A$2:$A$543,$A7,funnel_events_sample!$B$2:$B$543,"signup_started")=0,"",_xlfn.MINIFS(funnel_events_sample!$C$2:$C$543,funnel_events_sample!$A$2:$A$543,$A7,funnel_events_sample!$B$2:$B$543,"signup_started"))</f>
        <v>46223.166666666664</v>
      </c>
      <c r="D7" s="9">
        <f>IF(COUNTIFS(funnel_events_sample!$A$2:$A$543,$A7,funnel_events_sample!$B$2:$B$543,"details_filled")=0,"",_xlfn.MINIFS(funnel_events_sample!$C$2:$C$543,funnel_events_sample!$A$2:$A$543,$A7,funnel_events_sample!$B$2:$B$543,"details_filled"))</f>
        <v>46223.176388888889</v>
      </c>
      <c r="E7" s="9" t="str">
        <f>IF(COUNTIFS(funnel_events_sample!$A$2:$A$543,$A7,funnel_events_sample!$B$2:$B$543,"email_verified")=0,"",_xlfn.MINIFS(funnel_events_sample!$C$2:$C$543,funnel_events_sample!$A$2:$A$543,$A7,funnel_events_sample!$B$2:$B$543,"email_verified"))</f>
        <v/>
      </c>
      <c r="F7" s="9" t="str">
        <f>IF(COUNTIFS(funnel_events_sample!$A$2:$A$543,$A7,funnel_events_sample!$B$2:$B$543,"purchase_completed")=0,"",_xlfn.MINIFS(funnel_events_sample!$C$2:$C$543,funnel_events_sample!$A$2:$A$543,$A7,funnel_events_sample!$B$2:$B$543,"purchase_completed"))</f>
        <v/>
      </c>
      <c r="G7" s="11" t="str">
        <f t="shared" si="0"/>
        <v/>
      </c>
      <c r="H7" s="11">
        <f t="shared" si="1"/>
        <v>9.7222222248092294E-3</v>
      </c>
      <c r="I7" s="11" t="str">
        <f t="shared" si="2"/>
        <v/>
      </c>
      <c r="J7" s="11" t="str">
        <f t="shared" si="3"/>
        <v/>
      </c>
    </row>
    <row r="8" spans="1:14">
      <c r="A8" s="3" t="s">
        <v>18</v>
      </c>
      <c r="B8" s="9">
        <f>IF(COUNTIFS(funnel_events_sample!$A$2:$A$543,$A8,funnel_events_sample!$B$2:$B$543,"visited_site")=0,"",_xlfn.MINIFS(funnel_events_sample!$C$2:$C$543,funnel_events_sample!$A$2:$A$543,$A8,funnel_events_sample!$B$2:$B$543,"visited_site"))</f>
        <v>46223.156944444447</v>
      </c>
      <c r="C8" s="9">
        <f>IF(COUNTIFS(funnel_events_sample!$A$2:$A$543,$A8,funnel_events_sample!$B$2:$B$543,"signup_started")=0,"",_xlfn.MINIFS(funnel_events_sample!$C$2:$C$543,funnel_events_sample!$A$2:$A$543,$A8,funnel_events_sample!$B$2:$B$543,"signup_started"))</f>
        <v>46223.175694444442</v>
      </c>
      <c r="D8" s="9">
        <f>IF(COUNTIFS(funnel_events_sample!$A$2:$A$543,$A8,funnel_events_sample!$B$2:$B$543,"details_filled")=0,"",_xlfn.MINIFS(funnel_events_sample!$C$2:$C$543,funnel_events_sample!$A$2:$A$543,$A8,funnel_events_sample!$B$2:$B$543,"details_filled"))</f>
        <v>46223.191666666666</v>
      </c>
      <c r="E8" s="9" t="str">
        <f>IF(COUNTIFS(funnel_events_sample!$A$2:$A$543,$A8,funnel_events_sample!$B$2:$B$543,"email_verified")=0,"",_xlfn.MINIFS(funnel_events_sample!$C$2:$C$543,funnel_events_sample!$A$2:$A$543,$A8,funnel_events_sample!$B$2:$B$543,"email_verified"))</f>
        <v/>
      </c>
      <c r="F8" s="9" t="str">
        <f>IF(COUNTIFS(funnel_events_sample!$A$2:$A$543,$A8,funnel_events_sample!$B$2:$B$543,"purchase_completed")=0,"",_xlfn.MINIFS(funnel_events_sample!$C$2:$C$543,funnel_events_sample!$A$2:$A$543,$A8,funnel_events_sample!$B$2:$B$543,"purchase_completed"))</f>
        <v/>
      </c>
      <c r="G8" s="11">
        <f t="shared" si="0"/>
        <v>1.8749999995634425E-2</v>
      </c>
      <c r="H8" s="11">
        <f t="shared" si="1"/>
        <v>1.5972222223354038E-2</v>
      </c>
      <c r="I8" s="11" t="str">
        <f t="shared" si="2"/>
        <v/>
      </c>
      <c r="J8" s="11" t="str">
        <f t="shared" si="3"/>
        <v/>
      </c>
    </row>
    <row r="9" spans="1:14">
      <c r="A9" s="3" t="s">
        <v>180</v>
      </c>
      <c r="B9" s="9">
        <f>IF(COUNTIFS(funnel_events_sample!$A$2:$A$543,$A9,funnel_events_sample!$B$2:$B$543,"visited_site")=0,"",_xlfn.MINIFS(funnel_events_sample!$C$2:$C$543,funnel_events_sample!$A$2:$A$543,$A9,funnel_events_sample!$B$2:$B$543,"visited_site"))</f>
        <v>46223.154166666667</v>
      </c>
      <c r="C9" s="9">
        <f>IF(COUNTIFS(funnel_events_sample!$A$2:$A$543,$A9,funnel_events_sample!$B$2:$B$543,"signup_started")=0,"",_xlfn.MINIFS(funnel_events_sample!$C$2:$C$543,funnel_events_sample!$A$2:$A$543,$A9,funnel_events_sample!$B$2:$B$543,"signup_started"))</f>
        <v>46223.17291666667</v>
      </c>
      <c r="D9" s="9">
        <f>IF(COUNTIFS(funnel_events_sample!$A$2:$A$543,$A9,funnel_events_sample!$B$2:$B$543,"details_filled")=0,"",_xlfn.MINIFS(funnel_events_sample!$C$2:$C$543,funnel_events_sample!$A$2:$A$543,$A9,funnel_events_sample!$B$2:$B$543,"details_filled"))</f>
        <v>46223.171527777777</v>
      </c>
      <c r="E9" s="9" t="str">
        <f>IF(COUNTIFS(funnel_events_sample!$A$2:$A$543,$A9,funnel_events_sample!$B$2:$B$543,"email_verified")=0,"",_xlfn.MINIFS(funnel_events_sample!$C$2:$C$543,funnel_events_sample!$A$2:$A$543,$A9,funnel_events_sample!$B$2:$B$543,"email_verified"))</f>
        <v/>
      </c>
      <c r="F9" s="9" t="str">
        <f>IF(COUNTIFS(funnel_events_sample!$A$2:$A$543,$A9,funnel_events_sample!$B$2:$B$543,"purchase_completed")=0,"",_xlfn.MINIFS(funnel_events_sample!$C$2:$C$543,funnel_events_sample!$A$2:$A$543,$A9,funnel_events_sample!$B$2:$B$543,"purchase_completed"))</f>
        <v/>
      </c>
      <c r="G9" s="11">
        <f t="shared" si="0"/>
        <v>1.8750000002910383E-2</v>
      </c>
      <c r="H9" s="11" t="str">
        <f t="shared" si="1"/>
        <v/>
      </c>
      <c r="I9" s="11" t="str">
        <f t="shared" si="2"/>
        <v/>
      </c>
      <c r="J9" s="11" t="str">
        <f t="shared" si="3"/>
        <v/>
      </c>
    </row>
    <row r="10" spans="1:14">
      <c r="A10" s="3" t="s">
        <v>73</v>
      </c>
      <c r="B10" s="9">
        <f>IF(COUNTIFS(funnel_events_sample!$A$2:$A$543,$A10,funnel_events_sample!$B$2:$B$543,"visited_site")=0,"",_xlfn.MINIFS(funnel_events_sample!$C$2:$C$543,funnel_events_sample!$A$2:$A$543,$A10,funnel_events_sample!$B$2:$B$543,"visited_site"))</f>
        <v>46223.165972222225</v>
      </c>
      <c r="C10" s="9">
        <f>IF(COUNTIFS(funnel_events_sample!$A$2:$A$543,$A10,funnel_events_sample!$B$2:$B$543,"signup_started")=0,"",_xlfn.MINIFS(funnel_events_sample!$C$2:$C$543,funnel_events_sample!$A$2:$A$543,$A10,funnel_events_sample!$B$2:$B$543,"signup_started"))</f>
        <v>46223.171527777777</v>
      </c>
      <c r="D10" s="9">
        <f>IF(COUNTIFS(funnel_events_sample!$A$2:$A$543,$A10,funnel_events_sample!$B$2:$B$543,"details_filled")=0,"",_xlfn.MINIFS(funnel_events_sample!$C$2:$C$543,funnel_events_sample!$A$2:$A$543,$A10,funnel_events_sample!$B$2:$B$543,"details_filled"))</f>
        <v>46223.172222222223</v>
      </c>
      <c r="E10" s="9" t="str">
        <f>IF(COUNTIFS(funnel_events_sample!$A$2:$A$543,$A10,funnel_events_sample!$B$2:$B$543,"email_verified")=0,"",_xlfn.MINIFS(funnel_events_sample!$C$2:$C$543,funnel_events_sample!$A$2:$A$543,$A10,funnel_events_sample!$B$2:$B$543,"email_verified"))</f>
        <v/>
      </c>
      <c r="F10" s="9" t="str">
        <f>IF(COUNTIFS(funnel_events_sample!$A$2:$A$543,$A10,funnel_events_sample!$B$2:$B$543,"purchase_completed")=0,"",_xlfn.MINIFS(funnel_events_sample!$C$2:$C$543,funnel_events_sample!$A$2:$A$543,$A10,funnel_events_sample!$B$2:$B$543,"purchase_completed"))</f>
        <v/>
      </c>
      <c r="G10" s="11">
        <f t="shared" si="0"/>
        <v>5.5555555518367328E-3</v>
      </c>
      <c r="H10" s="11">
        <f t="shared" si="1"/>
        <v>6.944444467080757E-4</v>
      </c>
      <c r="I10" s="11" t="str">
        <f t="shared" si="2"/>
        <v/>
      </c>
      <c r="J10" s="11" t="str">
        <f t="shared" si="3"/>
        <v/>
      </c>
    </row>
    <row r="11" spans="1:14">
      <c r="A11" s="3" t="s">
        <v>74</v>
      </c>
      <c r="B11" s="9">
        <f>IF(COUNTIFS(funnel_events_sample!$A$2:$A$543,$A11,funnel_events_sample!$B$2:$B$543,"visited_site")=0,"",_xlfn.MINIFS(funnel_events_sample!$C$2:$C$543,funnel_events_sample!$A$2:$A$543,$A11,funnel_events_sample!$B$2:$B$543,"visited_site"))</f>
        <v>46223.160416666666</v>
      </c>
      <c r="C11" s="9">
        <f>IF(COUNTIFS(funnel_events_sample!$A$2:$A$543,$A11,funnel_events_sample!$B$2:$B$543,"signup_started")=0,"",_xlfn.MINIFS(funnel_events_sample!$C$2:$C$543,funnel_events_sample!$A$2:$A$543,$A11,funnel_events_sample!$B$2:$B$543,"signup_started"))</f>
        <v>46223.170138888891</v>
      </c>
      <c r="D11" s="9">
        <f>IF(COUNTIFS(funnel_events_sample!$A$2:$A$543,$A11,funnel_events_sample!$B$2:$B$543,"details_filled")=0,"",_xlfn.MINIFS(funnel_events_sample!$C$2:$C$543,funnel_events_sample!$A$2:$A$543,$A11,funnel_events_sample!$B$2:$B$543,"details_filled"))</f>
        <v>46223.177083333336</v>
      </c>
      <c r="E11" s="9" t="str">
        <f>IF(COUNTIFS(funnel_events_sample!$A$2:$A$543,$A11,funnel_events_sample!$B$2:$B$543,"email_verified")=0,"",_xlfn.MINIFS(funnel_events_sample!$C$2:$C$543,funnel_events_sample!$A$2:$A$543,$A11,funnel_events_sample!$B$2:$B$543,"email_verified"))</f>
        <v/>
      </c>
      <c r="F11" s="9" t="str">
        <f>IF(COUNTIFS(funnel_events_sample!$A$2:$A$543,$A11,funnel_events_sample!$B$2:$B$543,"purchase_completed")=0,"",_xlfn.MINIFS(funnel_events_sample!$C$2:$C$543,funnel_events_sample!$A$2:$A$543,$A11,funnel_events_sample!$B$2:$B$543,"purchase_completed"))</f>
        <v/>
      </c>
      <c r="G11" s="11">
        <f t="shared" si="0"/>
        <v>9.7222222248092294E-3</v>
      </c>
      <c r="H11" s="11">
        <f t="shared" si="1"/>
        <v>6.9444444452528842E-3</v>
      </c>
      <c r="I11" s="11" t="str">
        <f t="shared" si="2"/>
        <v/>
      </c>
      <c r="J11" s="11" t="str">
        <f t="shared" si="3"/>
        <v/>
      </c>
    </row>
    <row r="12" spans="1:14">
      <c r="A12" s="3" t="s">
        <v>65</v>
      </c>
      <c r="B12" s="9">
        <f>IF(COUNTIFS(funnel_events_sample!$A$2:$A$543,$A12,funnel_events_sample!$B$2:$B$543,"visited_site")=0,"",_xlfn.MINIFS(funnel_events_sample!$C$2:$C$543,funnel_events_sample!$A$2:$A$543,$A12,funnel_events_sample!$B$2:$B$543,"visited_site"))</f>
        <v>46223.147222222222</v>
      </c>
      <c r="C12" s="9">
        <f>IF(COUNTIFS(funnel_events_sample!$A$2:$A$543,$A12,funnel_events_sample!$B$2:$B$543,"signup_started")=0,"",_xlfn.MINIFS(funnel_events_sample!$C$2:$C$543,funnel_events_sample!$A$2:$A$543,$A12,funnel_events_sample!$B$2:$B$543,"signup_started"))</f>
        <v>46223.177777777775</v>
      </c>
      <c r="D12" s="9">
        <f>IF(COUNTIFS(funnel_events_sample!$A$2:$A$543,$A12,funnel_events_sample!$B$2:$B$543,"details_filled")=0,"",_xlfn.MINIFS(funnel_events_sample!$C$2:$C$543,funnel_events_sample!$A$2:$A$543,$A12,funnel_events_sample!$B$2:$B$543,"details_filled"))</f>
        <v>46223.188888888886</v>
      </c>
      <c r="E12" s="9" t="str">
        <f>IF(COUNTIFS(funnel_events_sample!$A$2:$A$543,$A12,funnel_events_sample!$B$2:$B$543,"email_verified")=0,"",_xlfn.MINIFS(funnel_events_sample!$C$2:$C$543,funnel_events_sample!$A$2:$A$543,$A12,funnel_events_sample!$B$2:$B$543,"email_verified"))</f>
        <v/>
      </c>
      <c r="F12" s="9" t="str">
        <f>IF(COUNTIFS(funnel_events_sample!$A$2:$A$543,$A12,funnel_events_sample!$B$2:$B$543,"purchase_completed")=0,"",_xlfn.MINIFS(funnel_events_sample!$C$2:$C$543,funnel_events_sample!$A$2:$A$543,$A12,funnel_events_sample!$B$2:$B$543,"purchase_completed"))</f>
        <v/>
      </c>
      <c r="G12" s="11">
        <f t="shared" si="0"/>
        <v>3.0555555553291924E-2</v>
      </c>
      <c r="H12" s="11">
        <f t="shared" si="1"/>
        <v>1.1111111110949423E-2</v>
      </c>
      <c r="I12" s="11" t="str">
        <f t="shared" si="2"/>
        <v/>
      </c>
      <c r="J12" s="11" t="str">
        <f t="shared" si="3"/>
        <v/>
      </c>
    </row>
    <row r="13" spans="1:14">
      <c r="A13" s="3" t="s">
        <v>34</v>
      </c>
      <c r="B13" s="9">
        <f>IF(COUNTIFS(funnel_events_sample!$A$2:$A$543,$A13,funnel_events_sample!$B$2:$B$543,"visited_site")=0,"",_xlfn.MINIFS(funnel_events_sample!$C$2:$C$543,funnel_events_sample!$A$2:$A$543,$A13,funnel_events_sample!$B$2:$B$543,"visited_site"))</f>
        <v>46223.168055555558</v>
      </c>
      <c r="C13" s="9">
        <f>IF(COUNTIFS(funnel_events_sample!$A$2:$A$543,$A13,funnel_events_sample!$B$2:$B$543,"signup_started")=0,"",_xlfn.MINIFS(funnel_events_sample!$C$2:$C$543,funnel_events_sample!$A$2:$A$543,$A13,funnel_events_sample!$B$2:$B$543,"signup_started"))</f>
        <v>46223.161111111112</v>
      </c>
      <c r="D13" s="9">
        <f>IF(COUNTIFS(funnel_events_sample!$A$2:$A$543,$A13,funnel_events_sample!$B$2:$B$543,"details_filled")=0,"",_xlfn.MINIFS(funnel_events_sample!$C$2:$C$543,funnel_events_sample!$A$2:$A$543,$A13,funnel_events_sample!$B$2:$B$543,"details_filled"))</f>
        <v>46223.17291666667</v>
      </c>
      <c r="E13" s="9" t="str">
        <f>IF(COUNTIFS(funnel_events_sample!$A$2:$A$543,$A13,funnel_events_sample!$B$2:$B$543,"email_verified")=0,"",_xlfn.MINIFS(funnel_events_sample!$C$2:$C$543,funnel_events_sample!$A$2:$A$543,$A13,funnel_events_sample!$B$2:$B$543,"email_verified"))</f>
        <v/>
      </c>
      <c r="F13" s="9" t="str">
        <f>IF(COUNTIFS(funnel_events_sample!$A$2:$A$543,$A13,funnel_events_sample!$B$2:$B$543,"purchase_completed")=0,"",_xlfn.MINIFS(funnel_events_sample!$C$2:$C$543,funnel_events_sample!$A$2:$A$543,$A13,funnel_events_sample!$B$2:$B$543,"purchase_completed"))</f>
        <v/>
      </c>
      <c r="G13" s="11" t="str">
        <f t="shared" si="0"/>
        <v/>
      </c>
      <c r="H13" s="11">
        <f t="shared" si="1"/>
        <v>1.1805555557657499E-2</v>
      </c>
      <c r="I13" s="11" t="str">
        <f t="shared" si="2"/>
        <v/>
      </c>
      <c r="J13" s="11" t="str">
        <f t="shared" si="3"/>
        <v/>
      </c>
    </row>
    <row r="14" spans="1:14">
      <c r="A14" s="3" t="s">
        <v>28</v>
      </c>
      <c r="B14" s="9">
        <f>IF(COUNTIFS(funnel_events_sample!$A$2:$A$543,$A14,funnel_events_sample!$B$2:$B$543,"visited_site")=0,"",_xlfn.MINIFS(funnel_events_sample!$C$2:$C$543,funnel_events_sample!$A$2:$A$543,$A14,funnel_events_sample!$B$2:$B$543,"visited_site"))</f>
        <v>46223.148611111108</v>
      </c>
      <c r="C14" s="9">
        <f>IF(COUNTIFS(funnel_events_sample!$A$2:$A$543,$A14,funnel_events_sample!$B$2:$B$543,"signup_started")=0,"",_xlfn.MINIFS(funnel_events_sample!$C$2:$C$543,funnel_events_sample!$A$2:$A$543,$A14,funnel_events_sample!$B$2:$B$543,"signup_started"))</f>
        <v>46223.166666666664</v>
      </c>
      <c r="D14" s="9">
        <f>IF(COUNTIFS(funnel_events_sample!$A$2:$A$543,$A14,funnel_events_sample!$B$2:$B$543,"details_filled")=0,"",_xlfn.MINIFS(funnel_events_sample!$C$2:$C$543,funnel_events_sample!$A$2:$A$543,$A14,funnel_events_sample!$B$2:$B$543,"details_filled"))</f>
        <v>46223.181944444441</v>
      </c>
      <c r="E14" s="9" t="str">
        <f>IF(COUNTIFS(funnel_events_sample!$A$2:$A$543,$A14,funnel_events_sample!$B$2:$B$543,"email_verified")=0,"",_xlfn.MINIFS(funnel_events_sample!$C$2:$C$543,funnel_events_sample!$A$2:$A$543,$A14,funnel_events_sample!$B$2:$B$543,"email_verified"))</f>
        <v/>
      </c>
      <c r="F14" s="9" t="str">
        <f>IF(COUNTIFS(funnel_events_sample!$A$2:$A$543,$A14,funnel_events_sample!$B$2:$B$543,"purchase_completed")=0,"",_xlfn.MINIFS(funnel_events_sample!$C$2:$C$543,funnel_events_sample!$A$2:$A$543,$A14,funnel_events_sample!$B$2:$B$543,"purchase_completed"))</f>
        <v/>
      </c>
      <c r="G14" s="11">
        <f t="shared" si="0"/>
        <v>1.8055555556202307E-2</v>
      </c>
      <c r="H14" s="11">
        <f t="shared" si="1"/>
        <v>1.5277777776645962E-2</v>
      </c>
      <c r="I14" s="11" t="str">
        <f t="shared" si="2"/>
        <v/>
      </c>
      <c r="J14" s="11" t="str">
        <f t="shared" si="3"/>
        <v/>
      </c>
    </row>
    <row r="15" spans="1:14">
      <c r="A15" s="3" t="s">
        <v>14</v>
      </c>
      <c r="B15" s="9">
        <f>IF(COUNTIFS(funnel_events_sample!$A$2:$A$543,$A15,funnel_events_sample!$B$2:$B$543,"visited_site")=0,"",_xlfn.MINIFS(funnel_events_sample!$C$2:$C$543,funnel_events_sample!$A$2:$A$543,$A15,funnel_events_sample!$B$2:$B$543,"visited_site"))</f>
        <v>46223.156944444447</v>
      </c>
      <c r="C15" s="9">
        <f>IF(COUNTIFS(funnel_events_sample!$A$2:$A$543,$A15,funnel_events_sample!$B$2:$B$543,"signup_started")=0,"",_xlfn.MINIFS(funnel_events_sample!$C$2:$C$543,funnel_events_sample!$A$2:$A$543,$A15,funnel_events_sample!$B$2:$B$543,"signup_started"))</f>
        <v>46223.172222222223</v>
      </c>
      <c r="D15" s="9">
        <f>IF(COUNTIFS(funnel_events_sample!$A$2:$A$543,$A15,funnel_events_sample!$B$2:$B$543,"details_filled")=0,"",_xlfn.MINIFS(funnel_events_sample!$C$2:$C$543,funnel_events_sample!$A$2:$A$543,$A15,funnel_events_sample!$B$2:$B$543,"details_filled"))</f>
        <v>46223.175000000003</v>
      </c>
      <c r="E15" s="9" t="str">
        <f>IF(COUNTIFS(funnel_events_sample!$A$2:$A$543,$A15,funnel_events_sample!$B$2:$B$543,"email_verified")=0,"",_xlfn.MINIFS(funnel_events_sample!$C$2:$C$543,funnel_events_sample!$A$2:$A$543,$A15,funnel_events_sample!$B$2:$B$543,"email_verified"))</f>
        <v/>
      </c>
      <c r="F15" s="9" t="str">
        <f>IF(COUNTIFS(funnel_events_sample!$A$2:$A$543,$A15,funnel_events_sample!$B$2:$B$543,"purchase_completed")=0,"",_xlfn.MINIFS(funnel_events_sample!$C$2:$C$543,funnel_events_sample!$A$2:$A$543,$A15,funnel_events_sample!$B$2:$B$543,"purchase_completed"))</f>
        <v/>
      </c>
      <c r="G15" s="11">
        <f t="shared" si="0"/>
        <v>1.5277777776645962E-2</v>
      </c>
      <c r="H15" s="11">
        <f t="shared" si="1"/>
        <v>2.7777777795563452E-3</v>
      </c>
      <c r="I15" s="11" t="str">
        <f t="shared" si="2"/>
        <v/>
      </c>
      <c r="J15" s="11" t="str">
        <f t="shared" si="3"/>
        <v/>
      </c>
    </row>
    <row r="16" spans="1:14">
      <c r="A16" s="3" t="s">
        <v>103</v>
      </c>
      <c r="B16" s="9">
        <f>IF(COUNTIFS(funnel_events_sample!$A$2:$A$543,$A16,funnel_events_sample!$B$2:$B$543,"visited_site")=0,"",_xlfn.MINIFS(funnel_events_sample!$C$2:$C$543,funnel_events_sample!$A$2:$A$543,$A16,funnel_events_sample!$B$2:$B$543,"visited_site"))</f>
        <v>46223.165277777778</v>
      </c>
      <c r="C16" s="9">
        <f>IF(COUNTIFS(funnel_events_sample!$A$2:$A$543,$A16,funnel_events_sample!$B$2:$B$543,"signup_started")=0,"",_xlfn.MINIFS(funnel_events_sample!$C$2:$C$543,funnel_events_sample!$A$2:$A$543,$A16,funnel_events_sample!$B$2:$B$543,"signup_started"))</f>
        <v>46223.179861111108</v>
      </c>
      <c r="D16" s="9">
        <f>IF(COUNTIFS(funnel_events_sample!$A$2:$A$543,$A16,funnel_events_sample!$B$2:$B$543,"details_filled")=0,"",_xlfn.MINIFS(funnel_events_sample!$C$2:$C$543,funnel_events_sample!$A$2:$A$543,$A16,funnel_events_sample!$B$2:$B$543,"details_filled"))</f>
        <v>46223.172222222223</v>
      </c>
      <c r="E16" s="9" t="str">
        <f>IF(COUNTIFS(funnel_events_sample!$A$2:$A$543,$A16,funnel_events_sample!$B$2:$B$543,"email_verified")=0,"",_xlfn.MINIFS(funnel_events_sample!$C$2:$C$543,funnel_events_sample!$A$2:$A$543,$A16,funnel_events_sample!$B$2:$B$543,"email_verified"))</f>
        <v/>
      </c>
      <c r="F16" s="9" t="str">
        <f>IF(COUNTIFS(funnel_events_sample!$A$2:$A$543,$A16,funnel_events_sample!$B$2:$B$543,"purchase_completed")=0,"",_xlfn.MINIFS(funnel_events_sample!$C$2:$C$543,funnel_events_sample!$A$2:$A$543,$A16,funnel_events_sample!$B$2:$B$543,"purchase_completed"))</f>
        <v/>
      </c>
      <c r="G16" s="11">
        <f t="shared" si="0"/>
        <v>1.4583333329937886E-2</v>
      </c>
      <c r="H16" s="11" t="str">
        <f t="shared" si="1"/>
        <v/>
      </c>
      <c r="I16" s="11" t="str">
        <f t="shared" si="2"/>
        <v/>
      </c>
      <c r="J16" s="11" t="str">
        <f t="shared" si="3"/>
        <v/>
      </c>
    </row>
    <row r="17" spans="1:10">
      <c r="A17" s="3" t="s">
        <v>44</v>
      </c>
      <c r="B17" s="9">
        <f>IF(COUNTIFS(funnel_events_sample!$A$2:$A$543,$A17,funnel_events_sample!$B$2:$B$543,"visited_site")=0,"",_xlfn.MINIFS(funnel_events_sample!$C$2:$C$543,funnel_events_sample!$A$2:$A$543,$A17,funnel_events_sample!$B$2:$B$543,"visited_site"))</f>
        <v>46223.161111111112</v>
      </c>
      <c r="C17" s="9">
        <f>IF(COUNTIFS(funnel_events_sample!$A$2:$A$543,$A17,funnel_events_sample!$B$2:$B$543,"signup_started")=0,"",_xlfn.MINIFS(funnel_events_sample!$C$2:$C$543,funnel_events_sample!$A$2:$A$543,$A17,funnel_events_sample!$B$2:$B$543,"signup_started"))</f>
        <v>46223.178472222222</v>
      </c>
      <c r="D17" s="9">
        <f>IF(COUNTIFS(funnel_events_sample!$A$2:$A$543,$A17,funnel_events_sample!$B$2:$B$543,"details_filled")=0,"",_xlfn.MINIFS(funnel_events_sample!$C$2:$C$543,funnel_events_sample!$A$2:$A$543,$A17,funnel_events_sample!$B$2:$B$543,"details_filled"))</f>
        <v>46223.175694444442</v>
      </c>
      <c r="E17" s="9" t="str">
        <f>IF(COUNTIFS(funnel_events_sample!$A$2:$A$543,$A17,funnel_events_sample!$B$2:$B$543,"email_verified")=0,"",_xlfn.MINIFS(funnel_events_sample!$C$2:$C$543,funnel_events_sample!$A$2:$A$543,$A17,funnel_events_sample!$B$2:$B$543,"email_verified"))</f>
        <v/>
      </c>
      <c r="F17" s="9" t="str">
        <f>IF(COUNTIFS(funnel_events_sample!$A$2:$A$543,$A17,funnel_events_sample!$B$2:$B$543,"purchase_completed")=0,"",_xlfn.MINIFS(funnel_events_sample!$C$2:$C$543,funnel_events_sample!$A$2:$A$543,$A17,funnel_events_sample!$B$2:$B$543,"purchase_completed"))</f>
        <v/>
      </c>
      <c r="G17" s="11">
        <f t="shared" si="0"/>
        <v>1.7361111109494232E-2</v>
      </c>
      <c r="H17" s="11" t="str">
        <f t="shared" si="1"/>
        <v/>
      </c>
      <c r="I17" s="11" t="str">
        <f t="shared" si="2"/>
        <v/>
      </c>
      <c r="J17" s="11" t="str">
        <f t="shared" si="3"/>
        <v/>
      </c>
    </row>
    <row r="18" spans="1:10">
      <c r="A18" s="3" t="s">
        <v>63</v>
      </c>
      <c r="B18" s="9">
        <f>IF(COUNTIFS(funnel_events_sample!$A$2:$A$543,$A18,funnel_events_sample!$B$2:$B$543,"visited_site")=0,"",_xlfn.MINIFS(funnel_events_sample!$C$2:$C$543,funnel_events_sample!$A$2:$A$543,$A18,funnel_events_sample!$B$2:$B$543,"visited_site"))</f>
        <v>46223.160416666666</v>
      </c>
      <c r="C18" s="9">
        <f>IF(COUNTIFS(funnel_events_sample!$A$2:$A$543,$A18,funnel_events_sample!$B$2:$B$543,"signup_started")=0,"",_xlfn.MINIFS(funnel_events_sample!$C$2:$C$543,funnel_events_sample!$A$2:$A$543,$A18,funnel_events_sample!$B$2:$B$543,"signup_started"))</f>
        <v>46223.182638888888</v>
      </c>
      <c r="D18" s="9">
        <f>IF(COUNTIFS(funnel_events_sample!$A$2:$A$543,$A18,funnel_events_sample!$B$2:$B$543,"details_filled")=0,"",_xlfn.MINIFS(funnel_events_sample!$C$2:$C$543,funnel_events_sample!$A$2:$A$543,$A18,funnel_events_sample!$B$2:$B$543,"details_filled"))</f>
        <v>46223.181944444441</v>
      </c>
      <c r="E18" s="9" t="str">
        <f>IF(COUNTIFS(funnel_events_sample!$A$2:$A$543,$A18,funnel_events_sample!$B$2:$B$543,"email_verified")=0,"",_xlfn.MINIFS(funnel_events_sample!$C$2:$C$543,funnel_events_sample!$A$2:$A$543,$A18,funnel_events_sample!$B$2:$B$543,"email_verified"))</f>
        <v/>
      </c>
      <c r="F18" s="9" t="str">
        <f>IF(COUNTIFS(funnel_events_sample!$A$2:$A$543,$A18,funnel_events_sample!$B$2:$B$543,"purchase_completed")=0,"",_xlfn.MINIFS(funnel_events_sample!$C$2:$C$543,funnel_events_sample!$A$2:$A$543,$A18,funnel_events_sample!$B$2:$B$543,"purchase_completed"))</f>
        <v/>
      </c>
      <c r="G18" s="11">
        <f t="shared" si="0"/>
        <v>2.2222222221898846E-2</v>
      </c>
      <c r="H18" s="11" t="str">
        <f t="shared" si="1"/>
        <v/>
      </c>
      <c r="I18" s="11" t="str">
        <f t="shared" si="2"/>
        <v/>
      </c>
      <c r="J18" s="11" t="str">
        <f t="shared" si="3"/>
        <v/>
      </c>
    </row>
    <row r="19" spans="1:10">
      <c r="A19" s="3" t="s">
        <v>187</v>
      </c>
      <c r="B19" s="9">
        <f>IF(COUNTIFS(funnel_events_sample!$A$2:$A$543,$A19,funnel_events_sample!$B$2:$B$543,"visited_site")=0,"",_xlfn.MINIFS(funnel_events_sample!$C$2:$C$543,funnel_events_sample!$A$2:$A$543,$A19,funnel_events_sample!$B$2:$B$543,"visited_site"))</f>
        <v>46223.17083333333</v>
      </c>
      <c r="C19" s="9">
        <f>IF(COUNTIFS(funnel_events_sample!$A$2:$A$543,$A19,funnel_events_sample!$B$2:$B$543,"signup_started")=0,"",_xlfn.MINIFS(funnel_events_sample!$C$2:$C$543,funnel_events_sample!$A$2:$A$543,$A19,funnel_events_sample!$B$2:$B$543,"signup_started"))</f>
        <v>46223.181250000001</v>
      </c>
      <c r="D19" s="9">
        <f>IF(COUNTIFS(funnel_events_sample!$A$2:$A$543,$A19,funnel_events_sample!$B$2:$B$543,"details_filled")=0,"",_xlfn.MINIFS(funnel_events_sample!$C$2:$C$543,funnel_events_sample!$A$2:$A$543,$A19,funnel_events_sample!$B$2:$B$543,"details_filled"))</f>
        <v>46223.186805555553</v>
      </c>
      <c r="E19" s="9" t="str">
        <f>IF(COUNTIFS(funnel_events_sample!$A$2:$A$543,$A19,funnel_events_sample!$B$2:$B$543,"email_verified")=0,"",_xlfn.MINIFS(funnel_events_sample!$C$2:$C$543,funnel_events_sample!$A$2:$A$543,$A19,funnel_events_sample!$B$2:$B$543,"email_verified"))</f>
        <v/>
      </c>
      <c r="F19" s="9" t="str">
        <f>IF(COUNTIFS(funnel_events_sample!$A$2:$A$543,$A19,funnel_events_sample!$B$2:$B$543,"purchase_completed")=0,"",_xlfn.MINIFS(funnel_events_sample!$C$2:$C$543,funnel_events_sample!$A$2:$A$543,$A19,funnel_events_sample!$B$2:$B$543,"purchase_completed"))</f>
        <v/>
      </c>
      <c r="G19" s="11">
        <f t="shared" si="0"/>
        <v>1.0416666671517305E-2</v>
      </c>
      <c r="H19" s="11">
        <f t="shared" si="1"/>
        <v>5.5555555518367328E-3</v>
      </c>
      <c r="I19" s="11" t="str">
        <f t="shared" si="2"/>
        <v/>
      </c>
      <c r="J19" s="11" t="str">
        <f t="shared" si="3"/>
        <v/>
      </c>
    </row>
    <row r="20" spans="1:10">
      <c r="A20" s="3" t="s">
        <v>70</v>
      </c>
      <c r="B20" s="9">
        <f>IF(COUNTIFS(funnel_events_sample!$A$2:$A$543,$A20,funnel_events_sample!$B$2:$B$543,"visited_site")=0,"",_xlfn.MINIFS(funnel_events_sample!$C$2:$C$543,funnel_events_sample!$A$2:$A$543,$A20,funnel_events_sample!$B$2:$B$543,"visited_site"))</f>
        <v>46223.167361111111</v>
      </c>
      <c r="C20" s="9">
        <f>IF(COUNTIFS(funnel_events_sample!$A$2:$A$543,$A20,funnel_events_sample!$B$2:$B$543,"signup_started")=0,"",_xlfn.MINIFS(funnel_events_sample!$C$2:$C$543,funnel_events_sample!$A$2:$A$543,$A20,funnel_events_sample!$B$2:$B$543,"signup_started"))</f>
        <v>46223.177083333336</v>
      </c>
      <c r="D20" s="9">
        <f>IF(COUNTIFS(funnel_events_sample!$A$2:$A$543,$A20,funnel_events_sample!$B$2:$B$543,"details_filled")=0,"",_xlfn.MINIFS(funnel_events_sample!$C$2:$C$543,funnel_events_sample!$A$2:$A$543,$A20,funnel_events_sample!$B$2:$B$543,"details_filled"))</f>
        <v>46223.171527777777</v>
      </c>
      <c r="E20" s="9" t="str">
        <f>IF(COUNTIFS(funnel_events_sample!$A$2:$A$543,$A20,funnel_events_sample!$B$2:$B$543,"email_verified")=0,"",_xlfn.MINIFS(funnel_events_sample!$C$2:$C$543,funnel_events_sample!$A$2:$A$543,$A20,funnel_events_sample!$B$2:$B$543,"email_verified"))</f>
        <v/>
      </c>
      <c r="F20" s="9" t="str">
        <f>IF(COUNTIFS(funnel_events_sample!$A$2:$A$543,$A20,funnel_events_sample!$B$2:$B$543,"purchase_completed")=0,"",_xlfn.MINIFS(funnel_events_sample!$C$2:$C$543,funnel_events_sample!$A$2:$A$543,$A20,funnel_events_sample!$B$2:$B$543,"purchase_completed"))</f>
        <v/>
      </c>
      <c r="G20" s="11">
        <f t="shared" si="0"/>
        <v>9.7222222248092294E-3</v>
      </c>
      <c r="H20" s="11" t="str">
        <f t="shared" si="1"/>
        <v/>
      </c>
      <c r="I20" s="11" t="str">
        <f t="shared" si="2"/>
        <v/>
      </c>
      <c r="J20" s="11" t="str">
        <f t="shared" si="3"/>
        <v/>
      </c>
    </row>
    <row r="21" spans="1:10">
      <c r="A21" s="3" t="s">
        <v>116</v>
      </c>
      <c r="B21" s="9">
        <f>IF(COUNTIFS(funnel_events_sample!$A$2:$A$543,$A21,funnel_events_sample!$B$2:$B$543,"visited_site")=0,"",_xlfn.MINIFS(funnel_events_sample!$C$2:$C$543,funnel_events_sample!$A$2:$A$543,$A21,funnel_events_sample!$B$2:$B$543,"visited_site"))</f>
        <v>46223.15902777778</v>
      </c>
      <c r="C21" s="9">
        <f>IF(COUNTIFS(funnel_events_sample!$A$2:$A$543,$A21,funnel_events_sample!$B$2:$B$543,"signup_started")=0,"",_xlfn.MINIFS(funnel_events_sample!$C$2:$C$543,funnel_events_sample!$A$2:$A$543,$A21,funnel_events_sample!$B$2:$B$543,"signup_started"))</f>
        <v>46223.174305555556</v>
      </c>
      <c r="D21" s="9">
        <f>IF(COUNTIFS(funnel_events_sample!$A$2:$A$543,$A21,funnel_events_sample!$B$2:$B$543,"details_filled")=0,"",_xlfn.MINIFS(funnel_events_sample!$C$2:$C$543,funnel_events_sample!$A$2:$A$543,$A21,funnel_events_sample!$B$2:$B$543,"details_filled"))</f>
        <v>46223.178472222222</v>
      </c>
      <c r="E21" s="9" t="str">
        <f>IF(COUNTIFS(funnel_events_sample!$A$2:$A$543,$A21,funnel_events_sample!$B$2:$B$543,"email_verified")=0,"",_xlfn.MINIFS(funnel_events_sample!$C$2:$C$543,funnel_events_sample!$A$2:$A$543,$A21,funnel_events_sample!$B$2:$B$543,"email_verified"))</f>
        <v/>
      </c>
      <c r="F21" s="9" t="str">
        <f>IF(COUNTIFS(funnel_events_sample!$A$2:$A$543,$A21,funnel_events_sample!$B$2:$B$543,"purchase_completed")=0,"",_xlfn.MINIFS(funnel_events_sample!$C$2:$C$543,funnel_events_sample!$A$2:$A$543,$A21,funnel_events_sample!$B$2:$B$543,"purchase_completed"))</f>
        <v/>
      </c>
      <c r="G21" s="11">
        <f t="shared" si="0"/>
        <v>1.5277777776645962E-2</v>
      </c>
      <c r="H21" s="11">
        <f t="shared" si="1"/>
        <v>4.166666665696539E-3</v>
      </c>
      <c r="I21" s="11" t="str">
        <f t="shared" si="2"/>
        <v/>
      </c>
      <c r="J21" s="11" t="str">
        <f t="shared" si="3"/>
        <v/>
      </c>
    </row>
    <row r="22" spans="1:10">
      <c r="A22" s="3" t="s">
        <v>133</v>
      </c>
      <c r="B22" s="9">
        <f>IF(COUNTIFS(funnel_events_sample!$A$2:$A$543,$A22,funnel_events_sample!$B$2:$B$543,"visited_site")=0,"",_xlfn.MINIFS(funnel_events_sample!$C$2:$C$543,funnel_events_sample!$A$2:$A$543,$A22,funnel_events_sample!$B$2:$B$543,"visited_site"))</f>
        <v>46223.163194444445</v>
      </c>
      <c r="C22" s="9">
        <f>IF(COUNTIFS(funnel_events_sample!$A$2:$A$543,$A22,funnel_events_sample!$B$2:$B$543,"signup_started")=0,"",_xlfn.MINIFS(funnel_events_sample!$C$2:$C$543,funnel_events_sample!$A$2:$A$543,$A22,funnel_events_sample!$B$2:$B$543,"signup_started"))</f>
        <v>46223.178472222222</v>
      </c>
      <c r="D22" s="9">
        <f>IF(COUNTIFS(funnel_events_sample!$A$2:$A$543,$A22,funnel_events_sample!$B$2:$B$543,"details_filled")=0,"",_xlfn.MINIFS(funnel_events_sample!$C$2:$C$543,funnel_events_sample!$A$2:$A$543,$A22,funnel_events_sample!$B$2:$B$543,"details_filled"))</f>
        <v>46223.176388888889</v>
      </c>
      <c r="E22" s="9" t="str">
        <f>IF(COUNTIFS(funnel_events_sample!$A$2:$A$543,$A22,funnel_events_sample!$B$2:$B$543,"email_verified")=0,"",_xlfn.MINIFS(funnel_events_sample!$C$2:$C$543,funnel_events_sample!$A$2:$A$543,$A22,funnel_events_sample!$B$2:$B$543,"email_verified"))</f>
        <v/>
      </c>
      <c r="F22" s="9" t="str">
        <f>IF(COUNTIFS(funnel_events_sample!$A$2:$A$543,$A22,funnel_events_sample!$B$2:$B$543,"purchase_completed")=0,"",_xlfn.MINIFS(funnel_events_sample!$C$2:$C$543,funnel_events_sample!$A$2:$A$543,$A22,funnel_events_sample!$B$2:$B$543,"purchase_completed"))</f>
        <v/>
      </c>
      <c r="G22" s="11">
        <f t="shared" si="0"/>
        <v>1.5277777776645962E-2</v>
      </c>
      <c r="H22" s="11" t="str">
        <f t="shared" si="1"/>
        <v/>
      </c>
      <c r="I22" s="11" t="str">
        <f t="shared" si="2"/>
        <v/>
      </c>
      <c r="J22" s="11" t="str">
        <f t="shared" si="3"/>
        <v/>
      </c>
    </row>
    <row r="23" spans="1:10">
      <c r="A23" s="3" t="s">
        <v>64</v>
      </c>
      <c r="B23" s="9">
        <f>IF(COUNTIFS(funnel_events_sample!$A$2:$A$543,$A23,funnel_events_sample!$B$2:$B$543,"visited_site")=0,"",_xlfn.MINIFS(funnel_events_sample!$C$2:$C$543,funnel_events_sample!$A$2:$A$543,$A23,funnel_events_sample!$B$2:$B$543,"visited_site"))</f>
        <v>46223.157638888886</v>
      </c>
      <c r="C23" s="9">
        <f>IF(COUNTIFS(funnel_events_sample!$A$2:$A$543,$A23,funnel_events_sample!$B$2:$B$543,"signup_started")=0,"",_xlfn.MINIFS(funnel_events_sample!$C$2:$C$543,funnel_events_sample!$A$2:$A$543,$A23,funnel_events_sample!$B$2:$B$543,"signup_started"))</f>
        <v>46223.183333333334</v>
      </c>
      <c r="D23" s="9">
        <f>IF(COUNTIFS(funnel_events_sample!$A$2:$A$543,$A23,funnel_events_sample!$B$2:$B$543,"details_filled")=0,"",_xlfn.MINIFS(funnel_events_sample!$C$2:$C$543,funnel_events_sample!$A$2:$A$543,$A23,funnel_events_sample!$B$2:$B$543,"details_filled"))</f>
        <v>46223.189583333333</v>
      </c>
      <c r="E23" s="9" t="str">
        <f>IF(COUNTIFS(funnel_events_sample!$A$2:$A$543,$A23,funnel_events_sample!$B$2:$B$543,"email_verified")=0,"",_xlfn.MINIFS(funnel_events_sample!$C$2:$C$543,funnel_events_sample!$A$2:$A$543,$A23,funnel_events_sample!$B$2:$B$543,"email_verified"))</f>
        <v/>
      </c>
      <c r="F23" s="9" t="str">
        <f>IF(COUNTIFS(funnel_events_sample!$A$2:$A$543,$A23,funnel_events_sample!$B$2:$B$543,"purchase_completed")=0,"",_xlfn.MINIFS(funnel_events_sample!$C$2:$C$543,funnel_events_sample!$A$2:$A$543,$A23,funnel_events_sample!$B$2:$B$543,"purchase_completed"))</f>
        <v/>
      </c>
      <c r="G23" s="11">
        <f t="shared" si="0"/>
        <v>2.5694444448163267E-2</v>
      </c>
      <c r="H23" s="11">
        <f t="shared" si="1"/>
        <v>6.2499999985448085E-3</v>
      </c>
      <c r="I23" s="11" t="str">
        <f t="shared" si="2"/>
        <v/>
      </c>
      <c r="J23" s="11" t="str">
        <f t="shared" si="3"/>
        <v/>
      </c>
    </row>
    <row r="24" spans="1:10">
      <c r="A24" s="3" t="s">
        <v>126</v>
      </c>
      <c r="B24" s="9">
        <f>IF(COUNTIFS(funnel_events_sample!$A$2:$A$543,$A24,funnel_events_sample!$B$2:$B$543,"visited_site")=0,"",_xlfn.MINIFS(funnel_events_sample!$C$2:$C$543,funnel_events_sample!$A$2:$A$543,$A24,funnel_events_sample!$B$2:$B$543,"visited_site"))</f>
        <v>46223.162499999999</v>
      </c>
      <c r="C24" s="9">
        <f>IF(COUNTIFS(funnel_events_sample!$A$2:$A$543,$A24,funnel_events_sample!$B$2:$B$543,"signup_started")=0,"",_xlfn.MINIFS(funnel_events_sample!$C$2:$C$543,funnel_events_sample!$A$2:$A$543,$A24,funnel_events_sample!$B$2:$B$543,"signup_started"))</f>
        <v>46223.170138888891</v>
      </c>
      <c r="D24" s="9">
        <f>IF(COUNTIFS(funnel_events_sample!$A$2:$A$543,$A24,funnel_events_sample!$B$2:$B$543,"details_filled")=0,"",_xlfn.MINIFS(funnel_events_sample!$C$2:$C$543,funnel_events_sample!$A$2:$A$543,$A24,funnel_events_sample!$B$2:$B$543,"details_filled"))</f>
        <v>46223.177083333336</v>
      </c>
      <c r="E24" s="9" t="str">
        <f>IF(COUNTIFS(funnel_events_sample!$A$2:$A$543,$A24,funnel_events_sample!$B$2:$B$543,"email_verified")=0,"",_xlfn.MINIFS(funnel_events_sample!$C$2:$C$543,funnel_events_sample!$A$2:$A$543,$A24,funnel_events_sample!$B$2:$B$543,"email_verified"))</f>
        <v/>
      </c>
      <c r="F24" s="9" t="str">
        <f>IF(COUNTIFS(funnel_events_sample!$A$2:$A$543,$A24,funnel_events_sample!$B$2:$B$543,"purchase_completed")=0,"",_xlfn.MINIFS(funnel_events_sample!$C$2:$C$543,funnel_events_sample!$A$2:$A$543,$A24,funnel_events_sample!$B$2:$B$543,"purchase_completed"))</f>
        <v/>
      </c>
      <c r="G24" s="11">
        <f t="shared" si="0"/>
        <v>7.6388888919609599E-3</v>
      </c>
      <c r="H24" s="11">
        <f t="shared" si="1"/>
        <v>6.9444444452528842E-3</v>
      </c>
      <c r="I24" s="11" t="str">
        <f t="shared" si="2"/>
        <v/>
      </c>
      <c r="J24" s="11" t="str">
        <f t="shared" si="3"/>
        <v/>
      </c>
    </row>
    <row r="25" spans="1:10">
      <c r="A25" s="3" t="s">
        <v>19</v>
      </c>
      <c r="B25" s="9">
        <f>IF(COUNTIFS(funnel_events_sample!$A$2:$A$543,$A25,funnel_events_sample!$B$2:$B$543,"visited_site")=0,"",_xlfn.MINIFS(funnel_events_sample!$C$2:$C$543,funnel_events_sample!$A$2:$A$543,$A25,funnel_events_sample!$B$2:$B$543,"visited_site"))</f>
        <v>46223.154166666667</v>
      </c>
      <c r="C25" s="9">
        <f>IF(COUNTIFS(funnel_events_sample!$A$2:$A$543,$A25,funnel_events_sample!$B$2:$B$543,"signup_started")=0,"",_xlfn.MINIFS(funnel_events_sample!$C$2:$C$543,funnel_events_sample!$A$2:$A$543,$A25,funnel_events_sample!$B$2:$B$543,"signup_started"))</f>
        <v>46223.169444444444</v>
      </c>
      <c r="D25" s="9">
        <f>IF(COUNTIFS(funnel_events_sample!$A$2:$A$543,$A25,funnel_events_sample!$B$2:$B$543,"details_filled")=0,"",_xlfn.MINIFS(funnel_events_sample!$C$2:$C$543,funnel_events_sample!$A$2:$A$543,$A25,funnel_events_sample!$B$2:$B$543,"details_filled"))</f>
        <v>46223.17083333333</v>
      </c>
      <c r="E25" s="9" t="str">
        <f>IF(COUNTIFS(funnel_events_sample!$A$2:$A$543,$A25,funnel_events_sample!$B$2:$B$543,"email_verified")=0,"",_xlfn.MINIFS(funnel_events_sample!$C$2:$C$543,funnel_events_sample!$A$2:$A$543,$A25,funnel_events_sample!$B$2:$B$543,"email_verified"))</f>
        <v/>
      </c>
      <c r="F25" s="9" t="str">
        <f>IF(COUNTIFS(funnel_events_sample!$A$2:$A$543,$A25,funnel_events_sample!$B$2:$B$543,"purchase_completed")=0,"",_xlfn.MINIFS(funnel_events_sample!$C$2:$C$543,funnel_events_sample!$A$2:$A$543,$A25,funnel_events_sample!$B$2:$B$543,"purchase_completed"))</f>
        <v/>
      </c>
      <c r="G25" s="11">
        <f t="shared" si="0"/>
        <v>1.5277777776645962E-2</v>
      </c>
      <c r="H25" s="11">
        <f t="shared" si="1"/>
        <v>1.3888888861401938E-3</v>
      </c>
      <c r="I25" s="11" t="str">
        <f t="shared" si="2"/>
        <v/>
      </c>
      <c r="J25" s="11" t="str">
        <f t="shared" si="3"/>
        <v/>
      </c>
    </row>
    <row r="26" spans="1:10">
      <c r="A26" s="3" t="s">
        <v>22</v>
      </c>
      <c r="B26" s="9">
        <f>IF(COUNTIFS(funnel_events_sample!$A$2:$A$543,$A26,funnel_events_sample!$B$2:$B$543,"visited_site")=0,"",_xlfn.MINIFS(funnel_events_sample!$C$2:$C$543,funnel_events_sample!$A$2:$A$543,$A26,funnel_events_sample!$B$2:$B$543,"visited_site"))</f>
        <v>46223.165972222225</v>
      </c>
      <c r="C26" s="9">
        <f>IF(COUNTIFS(funnel_events_sample!$A$2:$A$543,$A26,funnel_events_sample!$B$2:$B$543,"signup_started")=0,"",_xlfn.MINIFS(funnel_events_sample!$C$2:$C$543,funnel_events_sample!$A$2:$A$543,$A26,funnel_events_sample!$B$2:$B$543,"signup_started"))</f>
        <v>46223.165277777778</v>
      </c>
      <c r="D26" s="9">
        <f>IF(COUNTIFS(funnel_events_sample!$A$2:$A$543,$A26,funnel_events_sample!$B$2:$B$543,"details_filled")=0,"",_xlfn.MINIFS(funnel_events_sample!$C$2:$C$543,funnel_events_sample!$A$2:$A$543,$A26,funnel_events_sample!$B$2:$B$543,"details_filled"))</f>
        <v>46223.186111111114</v>
      </c>
      <c r="E26" s="9" t="str">
        <f>IF(COUNTIFS(funnel_events_sample!$A$2:$A$543,$A26,funnel_events_sample!$B$2:$B$543,"email_verified")=0,"",_xlfn.MINIFS(funnel_events_sample!$C$2:$C$543,funnel_events_sample!$A$2:$A$543,$A26,funnel_events_sample!$B$2:$B$543,"email_verified"))</f>
        <v/>
      </c>
      <c r="F26" s="9" t="str">
        <f>IF(COUNTIFS(funnel_events_sample!$A$2:$A$543,$A26,funnel_events_sample!$B$2:$B$543,"purchase_completed")=0,"",_xlfn.MINIFS(funnel_events_sample!$C$2:$C$543,funnel_events_sample!$A$2:$A$543,$A26,funnel_events_sample!$B$2:$B$543,"purchase_completed"))</f>
        <v/>
      </c>
      <c r="G26" s="11" t="str">
        <f t="shared" si="0"/>
        <v/>
      </c>
      <c r="H26" s="11">
        <f t="shared" si="1"/>
        <v>2.0833333335758653E-2</v>
      </c>
      <c r="I26" s="11" t="str">
        <f t="shared" si="2"/>
        <v/>
      </c>
      <c r="J26" s="11" t="str">
        <f t="shared" si="3"/>
        <v/>
      </c>
    </row>
    <row r="27" spans="1:10">
      <c r="A27" s="3" t="s">
        <v>162</v>
      </c>
      <c r="B27" s="9">
        <f>IF(COUNTIFS(funnel_events_sample!$A$2:$A$543,$A27,funnel_events_sample!$B$2:$B$543,"visited_site")=0,"",_xlfn.MINIFS(funnel_events_sample!$C$2:$C$543,funnel_events_sample!$A$2:$A$543,$A27,funnel_events_sample!$B$2:$B$543,"visited_site"))</f>
        <v>46223.169444444444</v>
      </c>
      <c r="C27" s="9">
        <f>IF(COUNTIFS(funnel_events_sample!$A$2:$A$543,$A27,funnel_events_sample!$B$2:$B$543,"signup_started")=0,"",_xlfn.MINIFS(funnel_events_sample!$C$2:$C$543,funnel_events_sample!$A$2:$A$543,$A27,funnel_events_sample!$B$2:$B$543,"signup_started"))</f>
        <v>46223.174305555556</v>
      </c>
      <c r="D27" s="9">
        <f>IF(COUNTIFS(funnel_events_sample!$A$2:$A$543,$A27,funnel_events_sample!$B$2:$B$543,"details_filled")=0,"",_xlfn.MINIFS(funnel_events_sample!$C$2:$C$543,funnel_events_sample!$A$2:$A$543,$A27,funnel_events_sample!$B$2:$B$543,"details_filled"))</f>
        <v>46223.169444444444</v>
      </c>
      <c r="E27" s="9" t="str">
        <f>IF(COUNTIFS(funnel_events_sample!$A$2:$A$543,$A27,funnel_events_sample!$B$2:$B$543,"email_verified")=0,"",_xlfn.MINIFS(funnel_events_sample!$C$2:$C$543,funnel_events_sample!$A$2:$A$543,$A27,funnel_events_sample!$B$2:$B$543,"email_verified"))</f>
        <v/>
      </c>
      <c r="F27" s="9" t="str">
        <f>IF(COUNTIFS(funnel_events_sample!$A$2:$A$543,$A27,funnel_events_sample!$B$2:$B$543,"purchase_completed")=0,"",_xlfn.MINIFS(funnel_events_sample!$C$2:$C$543,funnel_events_sample!$A$2:$A$543,$A27,funnel_events_sample!$B$2:$B$543,"purchase_completed"))</f>
        <v/>
      </c>
      <c r="G27" s="11">
        <f t="shared" si="0"/>
        <v>4.8611111124046147E-3</v>
      </c>
      <c r="H27" s="11" t="str">
        <f t="shared" si="1"/>
        <v/>
      </c>
      <c r="I27" s="11" t="str">
        <f t="shared" si="2"/>
        <v/>
      </c>
      <c r="J27" s="11" t="str">
        <f t="shared" si="3"/>
        <v/>
      </c>
    </row>
    <row r="28" spans="1:10">
      <c r="A28" s="3" t="s">
        <v>40</v>
      </c>
      <c r="B28" s="9">
        <f>IF(COUNTIFS(funnel_events_sample!$A$2:$A$543,$A28,funnel_events_sample!$B$2:$B$543,"visited_site")=0,"",_xlfn.MINIFS(funnel_events_sample!$C$2:$C$543,funnel_events_sample!$A$2:$A$543,$A28,funnel_events_sample!$B$2:$B$543,"visited_site"))</f>
        <v>46223.152083333334</v>
      </c>
      <c r="C28" s="9">
        <f>IF(COUNTIFS(funnel_events_sample!$A$2:$A$543,$A28,funnel_events_sample!$B$2:$B$543,"signup_started")=0,"",_xlfn.MINIFS(funnel_events_sample!$C$2:$C$543,funnel_events_sample!$A$2:$A$543,$A28,funnel_events_sample!$B$2:$B$543,"signup_started"))</f>
        <v>46223.166666666664</v>
      </c>
      <c r="D28" s="9">
        <f>IF(COUNTIFS(funnel_events_sample!$A$2:$A$543,$A28,funnel_events_sample!$B$2:$B$543,"details_filled")=0,"",_xlfn.MINIFS(funnel_events_sample!$C$2:$C$543,funnel_events_sample!$A$2:$A$543,$A28,funnel_events_sample!$B$2:$B$543,"details_filled"))</f>
        <v>46223.178472222222</v>
      </c>
      <c r="E28" s="9" t="str">
        <f>IF(COUNTIFS(funnel_events_sample!$A$2:$A$543,$A28,funnel_events_sample!$B$2:$B$543,"email_verified")=0,"",_xlfn.MINIFS(funnel_events_sample!$C$2:$C$543,funnel_events_sample!$A$2:$A$543,$A28,funnel_events_sample!$B$2:$B$543,"email_verified"))</f>
        <v/>
      </c>
      <c r="F28" s="9" t="str">
        <f>IF(COUNTIFS(funnel_events_sample!$A$2:$A$543,$A28,funnel_events_sample!$B$2:$B$543,"purchase_completed")=0,"",_xlfn.MINIFS(funnel_events_sample!$C$2:$C$543,funnel_events_sample!$A$2:$A$543,$A28,funnel_events_sample!$B$2:$B$543,"purchase_completed"))</f>
        <v/>
      </c>
      <c r="G28" s="11">
        <f t="shared" si="0"/>
        <v>1.4583333329937886E-2</v>
      </c>
      <c r="H28" s="11">
        <f t="shared" si="1"/>
        <v>1.1805555557657499E-2</v>
      </c>
      <c r="I28" s="11" t="str">
        <f t="shared" si="2"/>
        <v/>
      </c>
      <c r="J28" s="11" t="str">
        <f t="shared" si="3"/>
        <v/>
      </c>
    </row>
    <row r="29" spans="1:10">
      <c r="A29" s="3" t="s">
        <v>152</v>
      </c>
      <c r="B29" s="9">
        <f>IF(COUNTIFS(funnel_events_sample!$A$2:$A$543,$A29,funnel_events_sample!$B$2:$B$543,"visited_site")=0,"",_xlfn.MINIFS(funnel_events_sample!$C$2:$C$543,funnel_events_sample!$A$2:$A$543,$A29,funnel_events_sample!$B$2:$B$543,"visited_site"))</f>
        <v>46223.147222222222</v>
      </c>
      <c r="C29" s="9">
        <f>IF(COUNTIFS(funnel_events_sample!$A$2:$A$543,$A29,funnel_events_sample!$B$2:$B$543,"signup_started")=0,"",_xlfn.MINIFS(funnel_events_sample!$C$2:$C$543,funnel_events_sample!$A$2:$A$543,$A29,funnel_events_sample!$B$2:$B$543,"signup_started"))</f>
        <v>46223.163888888892</v>
      </c>
      <c r="D29" s="9">
        <f>IF(COUNTIFS(funnel_events_sample!$A$2:$A$543,$A29,funnel_events_sample!$B$2:$B$543,"details_filled")=0,"",_xlfn.MINIFS(funnel_events_sample!$C$2:$C$543,funnel_events_sample!$A$2:$A$543,$A29,funnel_events_sample!$B$2:$B$543,"details_filled"))</f>
        <v>46223.188194444447</v>
      </c>
      <c r="E29" s="9" t="str">
        <f>IF(COUNTIFS(funnel_events_sample!$A$2:$A$543,$A29,funnel_events_sample!$B$2:$B$543,"email_verified")=0,"",_xlfn.MINIFS(funnel_events_sample!$C$2:$C$543,funnel_events_sample!$A$2:$A$543,$A29,funnel_events_sample!$B$2:$B$543,"email_verified"))</f>
        <v/>
      </c>
      <c r="F29" s="9" t="str">
        <f>IF(COUNTIFS(funnel_events_sample!$A$2:$A$543,$A29,funnel_events_sample!$B$2:$B$543,"purchase_completed")=0,"",_xlfn.MINIFS(funnel_events_sample!$C$2:$C$543,funnel_events_sample!$A$2:$A$543,$A29,funnel_events_sample!$B$2:$B$543,"purchase_completed"))</f>
        <v/>
      </c>
      <c r="G29" s="11">
        <f t="shared" si="0"/>
        <v>1.6666666670062114E-2</v>
      </c>
      <c r="H29" s="11">
        <f t="shared" si="1"/>
        <v>2.4305555554747116E-2</v>
      </c>
      <c r="I29" s="11" t="str">
        <f t="shared" si="2"/>
        <v/>
      </c>
      <c r="J29" s="11" t="str">
        <f t="shared" si="3"/>
        <v/>
      </c>
    </row>
    <row r="30" spans="1:10">
      <c r="A30" s="3" t="s">
        <v>60</v>
      </c>
      <c r="B30" s="9">
        <f>IF(COUNTIFS(funnel_events_sample!$A$2:$A$543,$A30,funnel_events_sample!$B$2:$B$543,"visited_site")=0,"",_xlfn.MINIFS(funnel_events_sample!$C$2:$C$543,funnel_events_sample!$A$2:$A$543,$A30,funnel_events_sample!$B$2:$B$543,"visited_site"))</f>
        <v>46223.162499999999</v>
      </c>
      <c r="C30" s="9">
        <f>IF(COUNTIFS(funnel_events_sample!$A$2:$A$543,$A30,funnel_events_sample!$B$2:$B$543,"signup_started")=0,"",_xlfn.MINIFS(funnel_events_sample!$C$2:$C$543,funnel_events_sample!$A$2:$A$543,$A30,funnel_events_sample!$B$2:$B$543,"signup_started"))</f>
        <v>46223.176388888889</v>
      </c>
      <c r="D30" s="9">
        <f>IF(COUNTIFS(funnel_events_sample!$A$2:$A$543,$A30,funnel_events_sample!$B$2:$B$543,"details_filled")=0,"",_xlfn.MINIFS(funnel_events_sample!$C$2:$C$543,funnel_events_sample!$A$2:$A$543,$A30,funnel_events_sample!$B$2:$B$543,"details_filled"))</f>
        <v>46223.192361111112</v>
      </c>
      <c r="E30" s="9" t="str">
        <f>IF(COUNTIFS(funnel_events_sample!$A$2:$A$543,$A30,funnel_events_sample!$B$2:$B$543,"email_verified")=0,"",_xlfn.MINIFS(funnel_events_sample!$C$2:$C$543,funnel_events_sample!$A$2:$A$543,$A30,funnel_events_sample!$B$2:$B$543,"email_verified"))</f>
        <v/>
      </c>
      <c r="F30" s="9" t="str">
        <f>IF(COUNTIFS(funnel_events_sample!$A$2:$A$543,$A30,funnel_events_sample!$B$2:$B$543,"purchase_completed")=0,"",_xlfn.MINIFS(funnel_events_sample!$C$2:$C$543,funnel_events_sample!$A$2:$A$543,$A30,funnel_events_sample!$B$2:$B$543,"purchase_completed"))</f>
        <v/>
      </c>
      <c r="G30" s="11">
        <f t="shared" si="0"/>
        <v>1.3888888890505768E-2</v>
      </c>
      <c r="H30" s="11">
        <f t="shared" si="1"/>
        <v>1.5972222223354038E-2</v>
      </c>
      <c r="I30" s="11" t="str">
        <f t="shared" si="2"/>
        <v/>
      </c>
      <c r="J30" s="11" t="str">
        <f t="shared" si="3"/>
        <v/>
      </c>
    </row>
    <row r="31" spans="1:10">
      <c r="A31" s="3" t="s">
        <v>46</v>
      </c>
      <c r="B31" s="9">
        <f>IF(COUNTIFS(funnel_events_sample!$A$2:$A$543,$A31,funnel_events_sample!$B$2:$B$543,"visited_site")=0,"",_xlfn.MINIFS(funnel_events_sample!$C$2:$C$543,funnel_events_sample!$A$2:$A$543,$A31,funnel_events_sample!$B$2:$B$543,"visited_site"))</f>
        <v>46223.146527777775</v>
      </c>
      <c r="C31" s="9">
        <f>IF(COUNTIFS(funnel_events_sample!$A$2:$A$543,$A31,funnel_events_sample!$B$2:$B$543,"signup_started")=0,"",_xlfn.MINIFS(funnel_events_sample!$C$2:$C$543,funnel_events_sample!$A$2:$A$543,$A31,funnel_events_sample!$B$2:$B$543,"signup_started"))</f>
        <v>46223.179861111108</v>
      </c>
      <c r="D31" s="9">
        <f>IF(COUNTIFS(funnel_events_sample!$A$2:$A$543,$A31,funnel_events_sample!$B$2:$B$543,"details_filled")=0,"",_xlfn.MINIFS(funnel_events_sample!$C$2:$C$543,funnel_events_sample!$A$2:$A$543,$A31,funnel_events_sample!$B$2:$B$543,"details_filled"))</f>
        <v>46223.191666666666</v>
      </c>
      <c r="E31" s="9" t="str">
        <f>IF(COUNTIFS(funnel_events_sample!$A$2:$A$543,$A31,funnel_events_sample!$B$2:$B$543,"email_verified")=0,"",_xlfn.MINIFS(funnel_events_sample!$C$2:$C$543,funnel_events_sample!$A$2:$A$543,$A31,funnel_events_sample!$B$2:$B$543,"email_verified"))</f>
        <v/>
      </c>
      <c r="F31" s="9" t="str">
        <f>IF(COUNTIFS(funnel_events_sample!$A$2:$A$543,$A31,funnel_events_sample!$B$2:$B$543,"purchase_completed")=0,"",_xlfn.MINIFS(funnel_events_sample!$C$2:$C$543,funnel_events_sample!$A$2:$A$543,$A31,funnel_events_sample!$B$2:$B$543,"purchase_completed"))</f>
        <v/>
      </c>
      <c r="G31" s="11">
        <f t="shared" si="0"/>
        <v>3.3333333332848269E-2</v>
      </c>
      <c r="H31" s="11">
        <f t="shared" si="1"/>
        <v>1.1805555557657499E-2</v>
      </c>
      <c r="I31" s="11" t="str">
        <f t="shared" si="2"/>
        <v/>
      </c>
      <c r="J31" s="11" t="str">
        <f t="shared" si="3"/>
        <v/>
      </c>
    </row>
    <row r="32" spans="1:10">
      <c r="A32" s="3" t="s">
        <v>57</v>
      </c>
      <c r="B32" s="9">
        <f>IF(COUNTIFS(funnel_events_sample!$A$2:$A$543,$A32,funnel_events_sample!$B$2:$B$543,"visited_site")=0,"",_xlfn.MINIFS(funnel_events_sample!$C$2:$C$543,funnel_events_sample!$A$2:$A$543,$A32,funnel_events_sample!$B$2:$B$543,"visited_site"))</f>
        <v>46223.171527777777</v>
      </c>
      <c r="C32" s="9">
        <f>IF(COUNTIFS(funnel_events_sample!$A$2:$A$543,$A32,funnel_events_sample!$B$2:$B$543,"signup_started")=0,"",_xlfn.MINIFS(funnel_events_sample!$C$2:$C$543,funnel_events_sample!$A$2:$A$543,$A32,funnel_events_sample!$B$2:$B$543,"signup_started"))</f>
        <v>46223.163194444445</v>
      </c>
      <c r="D32" s="9">
        <f>IF(COUNTIFS(funnel_events_sample!$A$2:$A$543,$A32,funnel_events_sample!$B$2:$B$543,"details_filled")=0,"",_xlfn.MINIFS(funnel_events_sample!$C$2:$C$543,funnel_events_sample!$A$2:$A$543,$A32,funnel_events_sample!$B$2:$B$543,"details_filled"))</f>
        <v>46223.189583333333</v>
      </c>
      <c r="E32" s="9" t="str">
        <f>IF(COUNTIFS(funnel_events_sample!$A$2:$A$543,$A32,funnel_events_sample!$B$2:$B$543,"email_verified")=0,"",_xlfn.MINIFS(funnel_events_sample!$C$2:$C$543,funnel_events_sample!$A$2:$A$543,$A32,funnel_events_sample!$B$2:$B$543,"email_verified"))</f>
        <v/>
      </c>
      <c r="F32" s="9" t="str">
        <f>IF(COUNTIFS(funnel_events_sample!$A$2:$A$543,$A32,funnel_events_sample!$B$2:$B$543,"purchase_completed")=0,"",_xlfn.MINIFS(funnel_events_sample!$C$2:$C$543,funnel_events_sample!$A$2:$A$543,$A32,funnel_events_sample!$B$2:$B$543,"purchase_completed"))</f>
        <v/>
      </c>
      <c r="G32" s="11" t="str">
        <f t="shared" si="0"/>
        <v/>
      </c>
      <c r="H32" s="11">
        <f t="shared" si="1"/>
        <v>2.6388888887595385E-2</v>
      </c>
      <c r="I32" s="11" t="str">
        <f t="shared" si="2"/>
        <v/>
      </c>
      <c r="J32" s="11" t="str">
        <f t="shared" si="3"/>
        <v/>
      </c>
    </row>
    <row r="33" spans="1:10">
      <c r="A33" s="3" t="s">
        <v>56</v>
      </c>
      <c r="B33" s="9">
        <f>IF(COUNTIFS(funnel_events_sample!$A$2:$A$543,$A33,funnel_events_sample!$B$2:$B$543,"visited_site")=0,"",_xlfn.MINIFS(funnel_events_sample!$C$2:$C$543,funnel_events_sample!$A$2:$A$543,$A33,funnel_events_sample!$B$2:$B$543,"visited_site"))</f>
        <v>46223.151388888888</v>
      </c>
      <c r="C33" s="9">
        <f>IF(COUNTIFS(funnel_events_sample!$A$2:$A$543,$A33,funnel_events_sample!$B$2:$B$543,"signup_started")=0,"",_xlfn.MINIFS(funnel_events_sample!$C$2:$C$543,funnel_events_sample!$A$2:$A$543,$A33,funnel_events_sample!$B$2:$B$543,"signup_started"))</f>
        <v>46223.181250000001</v>
      </c>
      <c r="D33" s="9">
        <f>IF(COUNTIFS(funnel_events_sample!$A$2:$A$543,$A33,funnel_events_sample!$B$2:$B$543,"details_filled")=0,"",_xlfn.MINIFS(funnel_events_sample!$C$2:$C$543,funnel_events_sample!$A$2:$A$543,$A33,funnel_events_sample!$B$2:$B$543,"details_filled"))</f>
        <v>46223.182638888888</v>
      </c>
      <c r="E33" s="9" t="str">
        <f>IF(COUNTIFS(funnel_events_sample!$A$2:$A$543,$A33,funnel_events_sample!$B$2:$B$543,"email_verified")=0,"",_xlfn.MINIFS(funnel_events_sample!$C$2:$C$543,funnel_events_sample!$A$2:$A$543,$A33,funnel_events_sample!$B$2:$B$543,"email_verified"))</f>
        <v/>
      </c>
      <c r="F33" s="9" t="str">
        <f>IF(COUNTIFS(funnel_events_sample!$A$2:$A$543,$A33,funnel_events_sample!$B$2:$B$543,"purchase_completed")=0,"",_xlfn.MINIFS(funnel_events_sample!$C$2:$C$543,funnel_events_sample!$A$2:$A$543,$A33,funnel_events_sample!$B$2:$B$543,"purchase_completed"))</f>
        <v/>
      </c>
      <c r="G33" s="11">
        <f t="shared" si="0"/>
        <v>2.9861111113859806E-2</v>
      </c>
      <c r="H33" s="11">
        <f t="shared" si="1"/>
        <v>1.3888888861401938E-3</v>
      </c>
      <c r="I33" s="11" t="str">
        <f t="shared" si="2"/>
        <v/>
      </c>
      <c r="J33" s="11" t="str">
        <f t="shared" si="3"/>
        <v/>
      </c>
    </row>
    <row r="34" spans="1:10">
      <c r="A34" s="3" t="s">
        <v>26</v>
      </c>
      <c r="B34" s="9">
        <f>IF(COUNTIFS(funnel_events_sample!$A$2:$A$543,$A34,funnel_events_sample!$B$2:$B$543,"visited_site")=0,"",_xlfn.MINIFS(funnel_events_sample!$C$2:$C$543,funnel_events_sample!$A$2:$A$543,$A34,funnel_events_sample!$B$2:$B$543,"visited_site"))</f>
        <v>46223.160416666666</v>
      </c>
      <c r="C34" s="9">
        <f>IF(COUNTIFS(funnel_events_sample!$A$2:$A$543,$A34,funnel_events_sample!$B$2:$B$543,"signup_started")=0,"",_xlfn.MINIFS(funnel_events_sample!$C$2:$C$543,funnel_events_sample!$A$2:$A$543,$A34,funnel_events_sample!$B$2:$B$543,"signup_started"))</f>
        <v>46223.175000000003</v>
      </c>
      <c r="D34" s="9">
        <f>IF(COUNTIFS(funnel_events_sample!$A$2:$A$543,$A34,funnel_events_sample!$B$2:$B$543,"details_filled")=0,"",_xlfn.MINIFS(funnel_events_sample!$C$2:$C$543,funnel_events_sample!$A$2:$A$543,$A34,funnel_events_sample!$B$2:$B$543,"details_filled"))</f>
        <v>46223.171527777777</v>
      </c>
      <c r="E34" s="9" t="str">
        <f>IF(COUNTIFS(funnel_events_sample!$A$2:$A$543,$A34,funnel_events_sample!$B$2:$B$543,"email_verified")=0,"",_xlfn.MINIFS(funnel_events_sample!$C$2:$C$543,funnel_events_sample!$A$2:$A$543,$A34,funnel_events_sample!$B$2:$B$543,"email_verified"))</f>
        <v/>
      </c>
      <c r="F34" s="9" t="str">
        <f>IF(COUNTIFS(funnel_events_sample!$A$2:$A$543,$A34,funnel_events_sample!$B$2:$B$543,"purchase_completed")=0,"",_xlfn.MINIFS(funnel_events_sample!$C$2:$C$543,funnel_events_sample!$A$2:$A$543,$A34,funnel_events_sample!$B$2:$B$543,"purchase_completed"))</f>
        <v/>
      </c>
      <c r="G34" s="11">
        <f t="shared" si="0"/>
        <v>1.4583333337213844E-2</v>
      </c>
      <c r="H34" s="11" t="str">
        <f t="shared" si="1"/>
        <v/>
      </c>
      <c r="I34" s="11" t="str">
        <f t="shared" si="2"/>
        <v/>
      </c>
      <c r="J34" s="11" t="str">
        <f t="shared" si="3"/>
        <v/>
      </c>
    </row>
    <row r="35" spans="1:10">
      <c r="A35" s="3" t="s">
        <v>31</v>
      </c>
      <c r="B35" s="9">
        <f>IF(COUNTIFS(funnel_events_sample!$A$2:$A$543,$A35,funnel_events_sample!$B$2:$B$543,"visited_site")=0,"",_xlfn.MINIFS(funnel_events_sample!$C$2:$C$543,funnel_events_sample!$A$2:$A$543,$A35,funnel_events_sample!$B$2:$B$543,"visited_site"))</f>
        <v>46223.162499999999</v>
      </c>
      <c r="C35" s="9">
        <f>IF(COUNTIFS(funnel_events_sample!$A$2:$A$543,$A35,funnel_events_sample!$B$2:$B$543,"signup_started")=0,"",_xlfn.MINIFS(funnel_events_sample!$C$2:$C$543,funnel_events_sample!$A$2:$A$543,$A35,funnel_events_sample!$B$2:$B$543,"signup_started"))</f>
        <v>46223.168055555558</v>
      </c>
      <c r="D35" s="9">
        <f>IF(COUNTIFS(funnel_events_sample!$A$2:$A$543,$A35,funnel_events_sample!$B$2:$B$543,"details_filled")=0,"",_xlfn.MINIFS(funnel_events_sample!$C$2:$C$543,funnel_events_sample!$A$2:$A$543,$A35,funnel_events_sample!$B$2:$B$543,"details_filled"))</f>
        <v>46223.179166666669</v>
      </c>
      <c r="E35" s="9" t="str">
        <f>IF(COUNTIFS(funnel_events_sample!$A$2:$A$543,$A35,funnel_events_sample!$B$2:$B$543,"email_verified")=0,"",_xlfn.MINIFS(funnel_events_sample!$C$2:$C$543,funnel_events_sample!$A$2:$A$543,$A35,funnel_events_sample!$B$2:$B$543,"email_verified"))</f>
        <v/>
      </c>
      <c r="F35" s="9" t="str">
        <f>IF(COUNTIFS(funnel_events_sample!$A$2:$A$543,$A35,funnel_events_sample!$B$2:$B$543,"purchase_completed")=0,"",_xlfn.MINIFS(funnel_events_sample!$C$2:$C$543,funnel_events_sample!$A$2:$A$543,$A35,funnel_events_sample!$B$2:$B$543,"purchase_completed"))</f>
        <v/>
      </c>
      <c r="G35" s="11">
        <f t="shared" si="0"/>
        <v>5.5555555591126904E-3</v>
      </c>
      <c r="H35" s="11">
        <f t="shared" si="1"/>
        <v>1.1111111110949423E-2</v>
      </c>
      <c r="I35" s="11" t="str">
        <f t="shared" si="2"/>
        <v/>
      </c>
      <c r="J35" s="11" t="str">
        <f t="shared" si="3"/>
        <v/>
      </c>
    </row>
    <row r="36" spans="1:10">
      <c r="A36" s="3" t="s">
        <v>78</v>
      </c>
      <c r="B36" s="9">
        <f>IF(COUNTIFS(funnel_events_sample!$A$2:$A$543,$A36,funnel_events_sample!$B$2:$B$543,"visited_site")=0,"",_xlfn.MINIFS(funnel_events_sample!$C$2:$C$543,funnel_events_sample!$A$2:$A$543,$A36,funnel_events_sample!$B$2:$B$543,"visited_site"))</f>
        <v>46223.15</v>
      </c>
      <c r="C36" s="9">
        <f>IF(COUNTIFS(funnel_events_sample!$A$2:$A$543,$A36,funnel_events_sample!$B$2:$B$543,"signup_started")=0,"",_xlfn.MINIFS(funnel_events_sample!$C$2:$C$543,funnel_events_sample!$A$2:$A$543,$A36,funnel_events_sample!$B$2:$B$543,"signup_started"))</f>
        <v>46223.158333333333</v>
      </c>
      <c r="D36" s="9">
        <f>IF(COUNTIFS(funnel_events_sample!$A$2:$A$543,$A36,funnel_events_sample!$B$2:$B$543,"details_filled")=0,"",_xlfn.MINIFS(funnel_events_sample!$C$2:$C$543,funnel_events_sample!$A$2:$A$543,$A36,funnel_events_sample!$B$2:$B$543,"details_filled"))</f>
        <v>46223.186805555553</v>
      </c>
      <c r="E36" s="9" t="str">
        <f>IF(COUNTIFS(funnel_events_sample!$A$2:$A$543,$A36,funnel_events_sample!$B$2:$B$543,"email_verified")=0,"",_xlfn.MINIFS(funnel_events_sample!$C$2:$C$543,funnel_events_sample!$A$2:$A$543,$A36,funnel_events_sample!$B$2:$B$543,"email_verified"))</f>
        <v/>
      </c>
      <c r="F36" s="9" t="str">
        <f>IF(COUNTIFS(funnel_events_sample!$A$2:$A$543,$A36,funnel_events_sample!$B$2:$B$543,"purchase_completed")=0,"",_xlfn.MINIFS(funnel_events_sample!$C$2:$C$543,funnel_events_sample!$A$2:$A$543,$A36,funnel_events_sample!$B$2:$B$543,"purchase_completed"))</f>
        <v/>
      </c>
      <c r="G36" s="11">
        <f t="shared" si="0"/>
        <v>8.333333331393078E-3</v>
      </c>
      <c r="H36" s="11">
        <f t="shared" si="1"/>
        <v>2.8472222220443655E-2</v>
      </c>
      <c r="I36" s="11" t="str">
        <f t="shared" si="2"/>
        <v/>
      </c>
      <c r="J36" s="11" t="str">
        <f t="shared" si="3"/>
        <v/>
      </c>
    </row>
    <row r="37" spans="1:10">
      <c r="A37" s="3" t="s">
        <v>128</v>
      </c>
      <c r="B37" s="9">
        <f>IF(COUNTIFS(funnel_events_sample!$A$2:$A$543,$A37,funnel_events_sample!$B$2:$B$543,"visited_site")=0,"",_xlfn.MINIFS(funnel_events_sample!$C$2:$C$543,funnel_events_sample!$A$2:$A$543,$A37,funnel_events_sample!$B$2:$B$543,"visited_site"))</f>
        <v>46223.165972222225</v>
      </c>
      <c r="C37" s="9">
        <f>IF(COUNTIFS(funnel_events_sample!$A$2:$A$543,$A37,funnel_events_sample!$B$2:$B$543,"signup_started")=0,"",_xlfn.MINIFS(funnel_events_sample!$C$2:$C$543,funnel_events_sample!$A$2:$A$543,$A37,funnel_events_sample!$B$2:$B$543,"signup_started"))</f>
        <v>46223.171527777777</v>
      </c>
      <c r="D37" s="9">
        <f>IF(COUNTIFS(funnel_events_sample!$A$2:$A$543,$A37,funnel_events_sample!$B$2:$B$543,"details_filled")=0,"",_xlfn.MINIFS(funnel_events_sample!$C$2:$C$543,funnel_events_sample!$A$2:$A$543,$A37,funnel_events_sample!$B$2:$B$543,"details_filled"))</f>
        <v>46223.168749999997</v>
      </c>
      <c r="E37" s="9" t="str">
        <f>IF(COUNTIFS(funnel_events_sample!$A$2:$A$543,$A37,funnel_events_sample!$B$2:$B$543,"email_verified")=0,"",_xlfn.MINIFS(funnel_events_sample!$C$2:$C$543,funnel_events_sample!$A$2:$A$543,$A37,funnel_events_sample!$B$2:$B$543,"email_verified"))</f>
        <v/>
      </c>
      <c r="F37" s="9" t="str">
        <f>IF(COUNTIFS(funnel_events_sample!$A$2:$A$543,$A37,funnel_events_sample!$B$2:$B$543,"purchase_completed")=0,"",_xlfn.MINIFS(funnel_events_sample!$C$2:$C$543,funnel_events_sample!$A$2:$A$543,$A37,funnel_events_sample!$B$2:$B$543,"purchase_completed"))</f>
        <v/>
      </c>
      <c r="G37" s="11">
        <f t="shared" si="0"/>
        <v>5.5555555518367328E-3</v>
      </c>
      <c r="H37" s="11" t="str">
        <f t="shared" si="1"/>
        <v/>
      </c>
      <c r="I37" s="11" t="str">
        <f t="shared" si="2"/>
        <v/>
      </c>
      <c r="J37" s="11" t="str">
        <f t="shared" si="3"/>
        <v/>
      </c>
    </row>
    <row r="38" spans="1:10">
      <c r="A38" s="3" t="s">
        <v>174</v>
      </c>
      <c r="B38" s="9">
        <f>IF(COUNTIFS(funnel_events_sample!$A$2:$A$543,$A38,funnel_events_sample!$B$2:$B$543,"visited_site")=0,"",_xlfn.MINIFS(funnel_events_sample!$C$2:$C$543,funnel_events_sample!$A$2:$A$543,$A38,funnel_events_sample!$B$2:$B$543,"visited_site"))</f>
        <v>46223.164583333331</v>
      </c>
      <c r="C38" s="9">
        <f>IF(COUNTIFS(funnel_events_sample!$A$2:$A$543,$A38,funnel_events_sample!$B$2:$B$543,"signup_started")=0,"",_xlfn.MINIFS(funnel_events_sample!$C$2:$C$543,funnel_events_sample!$A$2:$A$543,$A38,funnel_events_sample!$B$2:$B$543,"signup_started"))</f>
        <v>46223.164583333331</v>
      </c>
      <c r="D38" s="9">
        <f>IF(COUNTIFS(funnel_events_sample!$A$2:$A$543,$A38,funnel_events_sample!$B$2:$B$543,"details_filled")=0,"",_xlfn.MINIFS(funnel_events_sample!$C$2:$C$543,funnel_events_sample!$A$2:$A$543,$A38,funnel_events_sample!$B$2:$B$543,"details_filled"))</f>
        <v>46223.17291666667</v>
      </c>
      <c r="E38" s="9" t="str">
        <f>IF(COUNTIFS(funnel_events_sample!$A$2:$A$543,$A38,funnel_events_sample!$B$2:$B$543,"email_verified")=0,"",_xlfn.MINIFS(funnel_events_sample!$C$2:$C$543,funnel_events_sample!$A$2:$A$543,$A38,funnel_events_sample!$B$2:$B$543,"email_verified"))</f>
        <v/>
      </c>
      <c r="F38" s="9" t="str">
        <f>IF(COUNTIFS(funnel_events_sample!$A$2:$A$543,$A38,funnel_events_sample!$B$2:$B$543,"purchase_completed")=0,"",_xlfn.MINIFS(funnel_events_sample!$C$2:$C$543,funnel_events_sample!$A$2:$A$543,$A38,funnel_events_sample!$B$2:$B$543,"purchase_completed"))</f>
        <v/>
      </c>
      <c r="G38" s="11">
        <f t="shared" si="0"/>
        <v>0</v>
      </c>
      <c r="H38" s="11">
        <f t="shared" si="1"/>
        <v>8.3333333386690356E-3</v>
      </c>
      <c r="I38" s="11" t="str">
        <f t="shared" si="2"/>
        <v/>
      </c>
      <c r="J38" s="11" t="str">
        <f t="shared" si="3"/>
        <v/>
      </c>
    </row>
    <row r="39" spans="1:10">
      <c r="A39" s="3" t="s">
        <v>192</v>
      </c>
      <c r="B39" s="9">
        <f>IF(COUNTIFS(funnel_events_sample!$A$2:$A$543,$A39,funnel_events_sample!$B$2:$B$543,"visited_site")=0,"",_xlfn.MINIFS(funnel_events_sample!$C$2:$C$543,funnel_events_sample!$A$2:$A$543,$A39,funnel_events_sample!$B$2:$B$543,"visited_site"))</f>
        <v>46223.15347222222</v>
      </c>
      <c r="C39" s="9">
        <f>IF(COUNTIFS(funnel_events_sample!$A$2:$A$543,$A39,funnel_events_sample!$B$2:$B$543,"signup_started")=0,"",_xlfn.MINIFS(funnel_events_sample!$C$2:$C$543,funnel_events_sample!$A$2:$A$543,$A39,funnel_events_sample!$B$2:$B$543,"signup_started"))</f>
        <v>46223.179166666669</v>
      </c>
      <c r="D39" s="9">
        <f>IF(COUNTIFS(funnel_events_sample!$A$2:$A$543,$A39,funnel_events_sample!$B$2:$B$543,"details_filled")=0,"",_xlfn.MINIFS(funnel_events_sample!$C$2:$C$543,funnel_events_sample!$A$2:$A$543,$A39,funnel_events_sample!$B$2:$B$543,"details_filled"))</f>
        <v>46223.175000000003</v>
      </c>
      <c r="E39" s="9" t="str">
        <f>IF(COUNTIFS(funnel_events_sample!$A$2:$A$543,$A39,funnel_events_sample!$B$2:$B$543,"email_verified")=0,"",_xlfn.MINIFS(funnel_events_sample!$C$2:$C$543,funnel_events_sample!$A$2:$A$543,$A39,funnel_events_sample!$B$2:$B$543,"email_verified"))</f>
        <v/>
      </c>
      <c r="F39" s="9" t="str">
        <f>IF(COUNTIFS(funnel_events_sample!$A$2:$A$543,$A39,funnel_events_sample!$B$2:$B$543,"purchase_completed")=0,"",_xlfn.MINIFS(funnel_events_sample!$C$2:$C$543,funnel_events_sample!$A$2:$A$543,$A39,funnel_events_sample!$B$2:$B$543,"purchase_completed"))</f>
        <v/>
      </c>
      <c r="G39" s="11">
        <f t="shared" si="0"/>
        <v>2.5694444448163267E-2</v>
      </c>
      <c r="H39" s="11" t="str">
        <f t="shared" si="1"/>
        <v/>
      </c>
      <c r="I39" s="11" t="str">
        <f t="shared" si="2"/>
        <v/>
      </c>
      <c r="J39" s="11" t="str">
        <f t="shared" si="3"/>
        <v/>
      </c>
    </row>
    <row r="40" spans="1:10">
      <c r="A40" s="3" t="s">
        <v>170</v>
      </c>
      <c r="B40" s="9">
        <f>IF(COUNTIFS(funnel_events_sample!$A$2:$A$543,$A40,funnel_events_sample!$B$2:$B$543,"visited_site")=0,"",_xlfn.MINIFS(funnel_events_sample!$C$2:$C$543,funnel_events_sample!$A$2:$A$543,$A40,funnel_events_sample!$B$2:$B$543,"visited_site"))</f>
        <v>46223.145833333336</v>
      </c>
      <c r="C40" s="9">
        <f>IF(COUNTIFS(funnel_events_sample!$A$2:$A$543,$A40,funnel_events_sample!$B$2:$B$543,"signup_started")=0,"",_xlfn.MINIFS(funnel_events_sample!$C$2:$C$543,funnel_events_sample!$A$2:$A$543,$A40,funnel_events_sample!$B$2:$B$543,"signup_started"))</f>
        <v>46223.17291666667</v>
      </c>
      <c r="D40" s="9">
        <f>IF(COUNTIFS(funnel_events_sample!$A$2:$A$543,$A40,funnel_events_sample!$B$2:$B$543,"details_filled")=0,"",_xlfn.MINIFS(funnel_events_sample!$C$2:$C$543,funnel_events_sample!$A$2:$A$543,$A40,funnel_events_sample!$B$2:$B$543,"details_filled"))</f>
        <v>46223.193749999999</v>
      </c>
      <c r="E40" s="9" t="str">
        <f>IF(COUNTIFS(funnel_events_sample!$A$2:$A$543,$A40,funnel_events_sample!$B$2:$B$543,"email_verified")=0,"",_xlfn.MINIFS(funnel_events_sample!$C$2:$C$543,funnel_events_sample!$A$2:$A$543,$A40,funnel_events_sample!$B$2:$B$543,"email_verified"))</f>
        <v/>
      </c>
      <c r="F40" s="9" t="str">
        <f>IF(COUNTIFS(funnel_events_sample!$A$2:$A$543,$A40,funnel_events_sample!$B$2:$B$543,"purchase_completed")=0,"",_xlfn.MINIFS(funnel_events_sample!$C$2:$C$543,funnel_events_sample!$A$2:$A$543,$A40,funnel_events_sample!$B$2:$B$543,"purchase_completed"))</f>
        <v/>
      </c>
      <c r="G40" s="11">
        <f t="shared" si="0"/>
        <v>2.7083333334303461E-2</v>
      </c>
      <c r="H40" s="11">
        <f t="shared" si="1"/>
        <v>2.0833333328482695E-2</v>
      </c>
      <c r="I40" s="11" t="str">
        <f t="shared" si="2"/>
        <v/>
      </c>
      <c r="J40" s="11" t="str">
        <f t="shared" si="3"/>
        <v/>
      </c>
    </row>
    <row r="41" spans="1:10">
      <c r="A41" s="3" t="s">
        <v>101</v>
      </c>
      <c r="B41" s="9">
        <f>IF(COUNTIFS(funnel_events_sample!$A$2:$A$543,$A41,funnel_events_sample!$B$2:$B$543,"visited_site")=0,"",_xlfn.MINIFS(funnel_events_sample!$C$2:$C$543,funnel_events_sample!$A$2:$A$543,$A41,funnel_events_sample!$B$2:$B$543,"visited_site"))</f>
        <v>46223.170138888891</v>
      </c>
      <c r="C41" s="9">
        <f>IF(COUNTIFS(funnel_events_sample!$A$2:$A$543,$A41,funnel_events_sample!$B$2:$B$543,"signup_started")=0,"",_xlfn.MINIFS(funnel_events_sample!$C$2:$C$543,funnel_events_sample!$A$2:$A$543,$A41,funnel_events_sample!$B$2:$B$543,"signup_started"))</f>
        <v>46223.172222222223</v>
      </c>
      <c r="D41" s="9">
        <f>IF(COUNTIFS(funnel_events_sample!$A$2:$A$543,$A41,funnel_events_sample!$B$2:$B$543,"details_filled")=0,"",_xlfn.MINIFS(funnel_events_sample!$C$2:$C$543,funnel_events_sample!$A$2:$A$543,$A41,funnel_events_sample!$B$2:$B$543,"details_filled"))</f>
        <v>46223.184027777781</v>
      </c>
      <c r="E41" s="9" t="str">
        <f>IF(COUNTIFS(funnel_events_sample!$A$2:$A$543,$A41,funnel_events_sample!$B$2:$B$543,"email_verified")=0,"",_xlfn.MINIFS(funnel_events_sample!$C$2:$C$543,funnel_events_sample!$A$2:$A$543,$A41,funnel_events_sample!$B$2:$B$543,"email_verified"))</f>
        <v/>
      </c>
      <c r="F41" s="9" t="str">
        <f>IF(COUNTIFS(funnel_events_sample!$A$2:$A$543,$A41,funnel_events_sample!$B$2:$B$543,"purchase_completed")=0,"",_xlfn.MINIFS(funnel_events_sample!$C$2:$C$543,funnel_events_sample!$A$2:$A$543,$A41,funnel_events_sample!$B$2:$B$543,"purchase_completed"))</f>
        <v/>
      </c>
      <c r="G41" s="11">
        <f t="shared" si="0"/>
        <v>2.0833333328482695E-3</v>
      </c>
      <c r="H41" s="11">
        <f t="shared" si="1"/>
        <v>1.1805555557657499E-2</v>
      </c>
      <c r="I41" s="11" t="str">
        <f t="shared" si="2"/>
        <v/>
      </c>
      <c r="J41" s="11" t="str">
        <f t="shared" si="3"/>
        <v/>
      </c>
    </row>
    <row r="42" spans="1:10">
      <c r="A42" s="3" t="s">
        <v>16</v>
      </c>
      <c r="B42" s="9">
        <f>IF(COUNTIFS(funnel_events_sample!$A$2:$A$543,$A42,funnel_events_sample!$B$2:$B$543,"visited_site")=0,"",_xlfn.MINIFS(funnel_events_sample!$C$2:$C$543,funnel_events_sample!$A$2:$A$543,$A42,funnel_events_sample!$B$2:$B$543,"visited_site"))</f>
        <v>46223.161111111112</v>
      </c>
      <c r="C42" s="9">
        <f>IF(COUNTIFS(funnel_events_sample!$A$2:$A$543,$A42,funnel_events_sample!$B$2:$B$543,"signup_started")=0,"",_xlfn.MINIFS(funnel_events_sample!$C$2:$C$543,funnel_events_sample!$A$2:$A$543,$A42,funnel_events_sample!$B$2:$B$543,"signup_started"))</f>
        <v>46223.156944444447</v>
      </c>
      <c r="D42" s="9">
        <f>IF(COUNTIFS(funnel_events_sample!$A$2:$A$543,$A42,funnel_events_sample!$B$2:$B$543,"details_filled")=0,"",_xlfn.MINIFS(funnel_events_sample!$C$2:$C$543,funnel_events_sample!$A$2:$A$543,$A42,funnel_events_sample!$B$2:$B$543,"details_filled"))</f>
        <v>46223.177083333336</v>
      </c>
      <c r="E42" s="9" t="str">
        <f>IF(COUNTIFS(funnel_events_sample!$A$2:$A$543,$A42,funnel_events_sample!$B$2:$B$543,"email_verified")=0,"",_xlfn.MINIFS(funnel_events_sample!$C$2:$C$543,funnel_events_sample!$A$2:$A$543,$A42,funnel_events_sample!$B$2:$B$543,"email_verified"))</f>
        <v/>
      </c>
      <c r="F42" s="9" t="str">
        <f>IF(COUNTIFS(funnel_events_sample!$A$2:$A$543,$A42,funnel_events_sample!$B$2:$B$543,"purchase_completed")=0,"",_xlfn.MINIFS(funnel_events_sample!$C$2:$C$543,funnel_events_sample!$A$2:$A$543,$A42,funnel_events_sample!$B$2:$B$543,"purchase_completed"))</f>
        <v/>
      </c>
      <c r="G42" s="11" t="str">
        <f t="shared" si="0"/>
        <v/>
      </c>
      <c r="H42" s="11">
        <f t="shared" si="1"/>
        <v>2.0138888889050577E-2</v>
      </c>
      <c r="I42" s="11" t="str">
        <f t="shared" si="2"/>
        <v/>
      </c>
      <c r="J42" s="11" t="str">
        <f t="shared" si="3"/>
        <v/>
      </c>
    </row>
    <row r="43" spans="1:10">
      <c r="A43" s="3" t="s">
        <v>151</v>
      </c>
      <c r="B43" s="9">
        <f>IF(COUNTIFS(funnel_events_sample!$A$2:$A$543,$A43,funnel_events_sample!$B$2:$B$543,"visited_site")=0,"",_xlfn.MINIFS(funnel_events_sample!$C$2:$C$543,funnel_events_sample!$A$2:$A$543,$A43,funnel_events_sample!$B$2:$B$543,"visited_site"))</f>
        <v>46223.164583333331</v>
      </c>
      <c r="C43" s="9">
        <f>IF(COUNTIFS(funnel_events_sample!$A$2:$A$543,$A43,funnel_events_sample!$B$2:$B$543,"signup_started")=0,"",_xlfn.MINIFS(funnel_events_sample!$C$2:$C$543,funnel_events_sample!$A$2:$A$543,$A43,funnel_events_sample!$B$2:$B$543,"signup_started"))</f>
        <v>46223.168055555558</v>
      </c>
      <c r="D43" s="9">
        <f>IF(COUNTIFS(funnel_events_sample!$A$2:$A$543,$A43,funnel_events_sample!$B$2:$B$543,"details_filled")=0,"",_xlfn.MINIFS(funnel_events_sample!$C$2:$C$543,funnel_events_sample!$A$2:$A$543,$A43,funnel_events_sample!$B$2:$B$543,"details_filled"))</f>
        <v>46223.174305555556</v>
      </c>
      <c r="E43" s="9" t="str">
        <f>IF(COUNTIFS(funnel_events_sample!$A$2:$A$543,$A43,funnel_events_sample!$B$2:$B$543,"email_verified")=0,"",_xlfn.MINIFS(funnel_events_sample!$C$2:$C$543,funnel_events_sample!$A$2:$A$543,$A43,funnel_events_sample!$B$2:$B$543,"email_verified"))</f>
        <v/>
      </c>
      <c r="F43" s="9" t="str">
        <f>IF(COUNTIFS(funnel_events_sample!$A$2:$A$543,$A43,funnel_events_sample!$B$2:$B$543,"purchase_completed")=0,"",_xlfn.MINIFS(funnel_events_sample!$C$2:$C$543,funnel_events_sample!$A$2:$A$543,$A43,funnel_events_sample!$B$2:$B$543,"purchase_completed"))</f>
        <v/>
      </c>
      <c r="G43" s="11">
        <f t="shared" si="0"/>
        <v>3.4722222262644209E-3</v>
      </c>
      <c r="H43" s="11">
        <f t="shared" si="1"/>
        <v>6.2499999985448085E-3</v>
      </c>
      <c r="I43" s="11" t="str">
        <f t="shared" si="2"/>
        <v/>
      </c>
      <c r="J43" s="11" t="str">
        <f t="shared" si="3"/>
        <v/>
      </c>
    </row>
    <row r="44" spans="1:10">
      <c r="A44" s="3" t="s">
        <v>138</v>
      </c>
      <c r="B44" s="9">
        <f>IF(COUNTIFS(funnel_events_sample!$A$2:$A$543,$A44,funnel_events_sample!$B$2:$B$543,"visited_site")=0,"",_xlfn.MINIFS(funnel_events_sample!$C$2:$C$543,funnel_events_sample!$A$2:$A$543,$A44,funnel_events_sample!$B$2:$B$543,"visited_site"))</f>
        <v>46223.168055555558</v>
      </c>
      <c r="C44" s="9">
        <f>IF(COUNTIFS(funnel_events_sample!$A$2:$A$543,$A44,funnel_events_sample!$B$2:$B$543,"signup_started")=0,"",_xlfn.MINIFS(funnel_events_sample!$C$2:$C$543,funnel_events_sample!$A$2:$A$543,$A44,funnel_events_sample!$B$2:$B$543,"signup_started"))</f>
        <v>46223.174305555556</v>
      </c>
      <c r="D44" s="9">
        <f>IF(COUNTIFS(funnel_events_sample!$A$2:$A$543,$A44,funnel_events_sample!$B$2:$B$543,"details_filled")=0,"",_xlfn.MINIFS(funnel_events_sample!$C$2:$C$543,funnel_events_sample!$A$2:$A$543,$A44,funnel_events_sample!$B$2:$B$543,"details_filled"))</f>
        <v>46223.179861111108</v>
      </c>
      <c r="E44" s="9" t="str">
        <f>IF(COUNTIFS(funnel_events_sample!$A$2:$A$543,$A44,funnel_events_sample!$B$2:$B$543,"email_verified")=0,"",_xlfn.MINIFS(funnel_events_sample!$C$2:$C$543,funnel_events_sample!$A$2:$A$543,$A44,funnel_events_sample!$B$2:$B$543,"email_verified"))</f>
        <v/>
      </c>
      <c r="F44" s="9" t="str">
        <f>IF(COUNTIFS(funnel_events_sample!$A$2:$A$543,$A44,funnel_events_sample!$B$2:$B$543,"purchase_completed")=0,"",_xlfn.MINIFS(funnel_events_sample!$C$2:$C$543,funnel_events_sample!$A$2:$A$543,$A44,funnel_events_sample!$B$2:$B$543,"purchase_completed"))</f>
        <v/>
      </c>
      <c r="G44" s="11">
        <f t="shared" si="0"/>
        <v>6.2499999985448085E-3</v>
      </c>
      <c r="H44" s="11">
        <f t="shared" si="1"/>
        <v>5.5555555518367328E-3</v>
      </c>
      <c r="I44" s="11" t="str">
        <f t="shared" si="2"/>
        <v/>
      </c>
      <c r="J44" s="11" t="str">
        <f t="shared" si="3"/>
        <v/>
      </c>
    </row>
    <row r="45" spans="1:10">
      <c r="A45" s="3" t="s">
        <v>146</v>
      </c>
      <c r="B45" s="9">
        <f>IF(COUNTIFS(funnel_events_sample!$A$2:$A$543,$A45,funnel_events_sample!$B$2:$B$543,"visited_site")=0,"",_xlfn.MINIFS(funnel_events_sample!$C$2:$C$543,funnel_events_sample!$A$2:$A$543,$A45,funnel_events_sample!$B$2:$B$543,"visited_site"))</f>
        <v>46223.163194444445</v>
      </c>
      <c r="C45" s="9">
        <f>IF(COUNTIFS(funnel_events_sample!$A$2:$A$543,$A45,funnel_events_sample!$B$2:$B$543,"signup_started")=0,"",_xlfn.MINIFS(funnel_events_sample!$C$2:$C$543,funnel_events_sample!$A$2:$A$543,$A45,funnel_events_sample!$B$2:$B$543,"signup_started"))</f>
        <v>46223.180555555555</v>
      </c>
      <c r="D45" s="9">
        <f>IF(COUNTIFS(funnel_events_sample!$A$2:$A$543,$A45,funnel_events_sample!$B$2:$B$543,"details_filled")=0,"",_xlfn.MINIFS(funnel_events_sample!$C$2:$C$543,funnel_events_sample!$A$2:$A$543,$A45,funnel_events_sample!$B$2:$B$543,"details_filled"))</f>
        <v>46223.171527777777</v>
      </c>
      <c r="E45" s="9" t="str">
        <f>IF(COUNTIFS(funnel_events_sample!$A$2:$A$543,$A45,funnel_events_sample!$B$2:$B$543,"email_verified")=0,"",_xlfn.MINIFS(funnel_events_sample!$C$2:$C$543,funnel_events_sample!$A$2:$A$543,$A45,funnel_events_sample!$B$2:$B$543,"email_verified"))</f>
        <v/>
      </c>
      <c r="F45" s="9" t="str">
        <f>IF(COUNTIFS(funnel_events_sample!$A$2:$A$543,$A45,funnel_events_sample!$B$2:$B$543,"purchase_completed")=0,"",_xlfn.MINIFS(funnel_events_sample!$C$2:$C$543,funnel_events_sample!$A$2:$A$543,$A45,funnel_events_sample!$B$2:$B$543,"purchase_completed"))</f>
        <v/>
      </c>
      <c r="G45" s="11">
        <f t="shared" si="0"/>
        <v>1.7361111109494232E-2</v>
      </c>
      <c r="H45" s="11" t="str">
        <f t="shared" si="1"/>
        <v/>
      </c>
      <c r="I45" s="11" t="str">
        <f t="shared" si="2"/>
        <v/>
      </c>
      <c r="J45" s="11" t="str">
        <f t="shared" si="3"/>
        <v/>
      </c>
    </row>
    <row r="46" spans="1:10">
      <c r="A46" s="3" t="s">
        <v>24</v>
      </c>
      <c r="B46" s="9">
        <f>IF(COUNTIFS(funnel_events_sample!$A$2:$A$543,$A46,funnel_events_sample!$B$2:$B$543,"visited_site")=0,"",_xlfn.MINIFS(funnel_events_sample!$C$2:$C$543,funnel_events_sample!$A$2:$A$543,$A46,funnel_events_sample!$B$2:$B$543,"visited_site"))</f>
        <v>46223.152083333334</v>
      </c>
      <c r="C46" s="9">
        <f>IF(COUNTIFS(funnel_events_sample!$A$2:$A$543,$A46,funnel_events_sample!$B$2:$B$543,"signup_started")=0,"",_xlfn.MINIFS(funnel_events_sample!$C$2:$C$543,funnel_events_sample!$A$2:$A$543,$A46,funnel_events_sample!$B$2:$B$543,"signup_started"))</f>
        <v>46223.179166666669</v>
      </c>
      <c r="D46" s="9">
        <f>IF(COUNTIFS(funnel_events_sample!$A$2:$A$543,$A46,funnel_events_sample!$B$2:$B$543,"details_filled")=0,"",_xlfn.MINIFS(funnel_events_sample!$C$2:$C$543,funnel_events_sample!$A$2:$A$543,$A46,funnel_events_sample!$B$2:$B$543,"details_filled"))</f>
        <v>46223.180555555555</v>
      </c>
      <c r="E46" s="9" t="str">
        <f>IF(COUNTIFS(funnel_events_sample!$A$2:$A$543,$A46,funnel_events_sample!$B$2:$B$543,"email_verified")=0,"",_xlfn.MINIFS(funnel_events_sample!$C$2:$C$543,funnel_events_sample!$A$2:$A$543,$A46,funnel_events_sample!$B$2:$B$543,"email_verified"))</f>
        <v/>
      </c>
      <c r="F46" s="9" t="str">
        <f>IF(COUNTIFS(funnel_events_sample!$A$2:$A$543,$A46,funnel_events_sample!$B$2:$B$543,"purchase_completed")=0,"",_xlfn.MINIFS(funnel_events_sample!$C$2:$C$543,funnel_events_sample!$A$2:$A$543,$A46,funnel_events_sample!$B$2:$B$543,"purchase_completed"))</f>
        <v/>
      </c>
      <c r="G46" s="11">
        <f t="shared" si="0"/>
        <v>2.7083333334303461E-2</v>
      </c>
      <c r="H46" s="11">
        <f t="shared" si="1"/>
        <v>1.3888888861401938E-3</v>
      </c>
      <c r="I46" s="11" t="str">
        <f t="shared" si="2"/>
        <v/>
      </c>
      <c r="J46" s="11" t="str">
        <f t="shared" si="3"/>
        <v/>
      </c>
    </row>
    <row r="47" spans="1:10">
      <c r="A47" s="3" t="s">
        <v>52</v>
      </c>
      <c r="B47" s="9">
        <f>IF(COUNTIFS(funnel_events_sample!$A$2:$A$543,$A47,funnel_events_sample!$B$2:$B$543,"visited_site")=0,"",_xlfn.MINIFS(funnel_events_sample!$C$2:$C$543,funnel_events_sample!$A$2:$A$543,$A47,funnel_events_sample!$B$2:$B$543,"visited_site"))</f>
        <v>46223.15902777778</v>
      </c>
      <c r="C47" s="9">
        <f>IF(COUNTIFS(funnel_events_sample!$A$2:$A$543,$A47,funnel_events_sample!$B$2:$B$543,"signup_started")=0,"",_xlfn.MINIFS(funnel_events_sample!$C$2:$C$543,funnel_events_sample!$A$2:$A$543,$A47,funnel_events_sample!$B$2:$B$543,"signup_started"))</f>
        <v>46223.182638888888</v>
      </c>
      <c r="D47" s="9">
        <f>IF(COUNTIFS(funnel_events_sample!$A$2:$A$543,$A47,funnel_events_sample!$B$2:$B$543,"details_filled")=0,"",_xlfn.MINIFS(funnel_events_sample!$C$2:$C$543,funnel_events_sample!$A$2:$A$543,$A47,funnel_events_sample!$B$2:$B$543,"details_filled"))</f>
        <v>46223.172222222223</v>
      </c>
      <c r="E47" s="9" t="str">
        <f>IF(COUNTIFS(funnel_events_sample!$A$2:$A$543,$A47,funnel_events_sample!$B$2:$B$543,"email_verified")=0,"",_xlfn.MINIFS(funnel_events_sample!$C$2:$C$543,funnel_events_sample!$A$2:$A$543,$A47,funnel_events_sample!$B$2:$B$543,"email_verified"))</f>
        <v/>
      </c>
      <c r="F47" s="9" t="str">
        <f>IF(COUNTIFS(funnel_events_sample!$A$2:$A$543,$A47,funnel_events_sample!$B$2:$B$543,"purchase_completed")=0,"",_xlfn.MINIFS(funnel_events_sample!$C$2:$C$543,funnel_events_sample!$A$2:$A$543,$A47,funnel_events_sample!$B$2:$B$543,"purchase_completed"))</f>
        <v/>
      </c>
      <c r="G47" s="11">
        <f t="shared" si="0"/>
        <v>2.361111110803904E-2</v>
      </c>
      <c r="H47" s="11" t="str">
        <f t="shared" si="1"/>
        <v/>
      </c>
      <c r="I47" s="11" t="str">
        <f t="shared" si="2"/>
        <v/>
      </c>
      <c r="J47" s="11" t="str">
        <f t="shared" si="3"/>
        <v/>
      </c>
    </row>
    <row r="48" spans="1:10">
      <c r="A48" s="3" t="s">
        <v>115</v>
      </c>
      <c r="B48" s="9">
        <f>IF(COUNTIFS(funnel_events_sample!$A$2:$A$543,$A48,funnel_events_sample!$B$2:$B$543,"visited_site")=0,"",_xlfn.MINIFS(funnel_events_sample!$C$2:$C$543,funnel_events_sample!$A$2:$A$543,$A48,funnel_events_sample!$B$2:$B$543,"visited_site"))</f>
        <v>46223.168055555558</v>
      </c>
      <c r="C48" s="9">
        <f>IF(COUNTIFS(funnel_events_sample!$A$2:$A$543,$A48,funnel_events_sample!$B$2:$B$543,"signup_started")=0,"",_xlfn.MINIFS(funnel_events_sample!$C$2:$C$543,funnel_events_sample!$A$2:$A$543,$A48,funnel_events_sample!$B$2:$B$543,"signup_started"))</f>
        <v>46223.176388888889</v>
      </c>
      <c r="D48" s="9" t="str">
        <f>IF(COUNTIFS(funnel_events_sample!$A$2:$A$543,$A48,funnel_events_sample!$B$2:$B$543,"details_filled")=0,"",_xlfn.MINIFS(funnel_events_sample!$C$2:$C$543,funnel_events_sample!$A$2:$A$543,$A48,funnel_events_sample!$B$2:$B$543,"details_filled"))</f>
        <v/>
      </c>
      <c r="E48" s="9">
        <f>IF(COUNTIFS(funnel_events_sample!$A$2:$A$543,$A48,funnel_events_sample!$B$2:$B$543,"email_verified")=0,"",_xlfn.MINIFS(funnel_events_sample!$C$2:$C$543,funnel_events_sample!$A$2:$A$543,$A48,funnel_events_sample!$B$2:$B$543,"email_verified"))</f>
        <v>46223.182638888888</v>
      </c>
      <c r="F48" s="9" t="str">
        <f>IF(COUNTIFS(funnel_events_sample!$A$2:$A$543,$A48,funnel_events_sample!$B$2:$B$543,"purchase_completed")=0,"",_xlfn.MINIFS(funnel_events_sample!$C$2:$C$543,funnel_events_sample!$A$2:$A$543,$A48,funnel_events_sample!$B$2:$B$543,"purchase_completed"))</f>
        <v/>
      </c>
      <c r="G48" s="11">
        <f t="shared" si="0"/>
        <v>8.333333331393078E-3</v>
      </c>
      <c r="H48" s="11" t="str">
        <f t="shared" si="1"/>
        <v/>
      </c>
      <c r="I48" s="11" t="str">
        <f t="shared" si="2"/>
        <v/>
      </c>
      <c r="J48" s="11" t="str">
        <f t="shared" si="3"/>
        <v/>
      </c>
    </row>
    <row r="49" spans="1:10">
      <c r="A49" s="3" t="s">
        <v>102</v>
      </c>
      <c r="B49" s="9">
        <f>IF(COUNTIFS(funnel_events_sample!$A$2:$A$543,$A49,funnel_events_sample!$B$2:$B$543,"visited_site")=0,"",_xlfn.MINIFS(funnel_events_sample!$C$2:$C$543,funnel_events_sample!$A$2:$A$543,$A49,funnel_events_sample!$B$2:$B$543,"visited_site"))</f>
        <v>46223.146527777775</v>
      </c>
      <c r="C49" s="9">
        <f>IF(COUNTIFS(funnel_events_sample!$A$2:$A$543,$A49,funnel_events_sample!$B$2:$B$543,"signup_started")=0,"",_xlfn.MINIFS(funnel_events_sample!$C$2:$C$543,funnel_events_sample!$A$2:$A$543,$A49,funnel_events_sample!$B$2:$B$543,"signup_started"))</f>
        <v>46223.181250000001</v>
      </c>
      <c r="D49" s="9" t="str">
        <f>IF(COUNTIFS(funnel_events_sample!$A$2:$A$543,$A49,funnel_events_sample!$B$2:$B$543,"details_filled")=0,"",_xlfn.MINIFS(funnel_events_sample!$C$2:$C$543,funnel_events_sample!$A$2:$A$543,$A49,funnel_events_sample!$B$2:$B$543,"details_filled"))</f>
        <v/>
      </c>
      <c r="E49" s="9">
        <f>IF(COUNTIFS(funnel_events_sample!$A$2:$A$543,$A49,funnel_events_sample!$B$2:$B$543,"email_verified")=0,"",_xlfn.MINIFS(funnel_events_sample!$C$2:$C$543,funnel_events_sample!$A$2:$A$543,$A49,funnel_events_sample!$B$2:$B$543,"email_verified"))</f>
        <v>46223.186111111114</v>
      </c>
      <c r="F49" s="9" t="str">
        <f>IF(COUNTIFS(funnel_events_sample!$A$2:$A$543,$A49,funnel_events_sample!$B$2:$B$543,"purchase_completed")=0,"",_xlfn.MINIFS(funnel_events_sample!$C$2:$C$543,funnel_events_sample!$A$2:$A$543,$A49,funnel_events_sample!$B$2:$B$543,"purchase_completed"))</f>
        <v/>
      </c>
      <c r="G49" s="11">
        <f t="shared" si="0"/>
        <v>3.4722222226264421E-2</v>
      </c>
      <c r="H49" s="11" t="str">
        <f t="shared" si="1"/>
        <v/>
      </c>
      <c r="I49" s="11" t="str">
        <f t="shared" si="2"/>
        <v/>
      </c>
      <c r="J49" s="11" t="str">
        <f t="shared" si="3"/>
        <v/>
      </c>
    </row>
    <row r="50" spans="1:10">
      <c r="A50" s="3" t="s">
        <v>166</v>
      </c>
      <c r="B50" s="9">
        <f>IF(COUNTIFS(funnel_events_sample!$A$2:$A$543,$A50,funnel_events_sample!$B$2:$B$543,"visited_site")=0,"",_xlfn.MINIFS(funnel_events_sample!$C$2:$C$543,funnel_events_sample!$A$2:$A$543,$A50,funnel_events_sample!$B$2:$B$543,"visited_site"))</f>
        <v>46223.167361111111</v>
      </c>
      <c r="C50" s="9">
        <f>IF(COUNTIFS(funnel_events_sample!$A$2:$A$543,$A50,funnel_events_sample!$B$2:$B$543,"signup_started")=0,"",_xlfn.MINIFS(funnel_events_sample!$C$2:$C$543,funnel_events_sample!$A$2:$A$543,$A50,funnel_events_sample!$B$2:$B$543,"signup_started"))</f>
        <v>46223.169444444444</v>
      </c>
      <c r="D50" s="9" t="str">
        <f>IF(COUNTIFS(funnel_events_sample!$A$2:$A$543,$A50,funnel_events_sample!$B$2:$B$543,"details_filled")=0,"",_xlfn.MINIFS(funnel_events_sample!$C$2:$C$543,funnel_events_sample!$A$2:$A$543,$A50,funnel_events_sample!$B$2:$B$543,"details_filled"))</f>
        <v/>
      </c>
      <c r="E50" s="9">
        <f>IF(COUNTIFS(funnel_events_sample!$A$2:$A$543,$A50,funnel_events_sample!$B$2:$B$543,"email_verified")=0,"",_xlfn.MINIFS(funnel_events_sample!$C$2:$C$543,funnel_events_sample!$A$2:$A$543,$A50,funnel_events_sample!$B$2:$B$543,"email_verified"))</f>
        <v>46223.20416666667</v>
      </c>
      <c r="F50" s="9" t="str">
        <f>IF(COUNTIFS(funnel_events_sample!$A$2:$A$543,$A50,funnel_events_sample!$B$2:$B$543,"purchase_completed")=0,"",_xlfn.MINIFS(funnel_events_sample!$C$2:$C$543,funnel_events_sample!$A$2:$A$543,$A50,funnel_events_sample!$B$2:$B$543,"purchase_completed"))</f>
        <v/>
      </c>
      <c r="G50" s="11">
        <f t="shared" si="0"/>
        <v>2.0833333328482695E-3</v>
      </c>
      <c r="H50" s="11" t="str">
        <f t="shared" si="1"/>
        <v/>
      </c>
      <c r="I50" s="11" t="str">
        <f t="shared" si="2"/>
        <v/>
      </c>
      <c r="J50" s="11" t="str">
        <f t="shared" si="3"/>
        <v/>
      </c>
    </row>
    <row r="51" spans="1:10">
      <c r="A51" s="3" t="s">
        <v>50</v>
      </c>
      <c r="B51" s="9">
        <f>IF(COUNTIFS(funnel_events_sample!$A$2:$A$543,$A51,funnel_events_sample!$B$2:$B$543,"visited_site")=0,"",_xlfn.MINIFS(funnel_events_sample!$C$2:$C$543,funnel_events_sample!$A$2:$A$543,$A51,funnel_events_sample!$B$2:$B$543,"visited_site"))</f>
        <v>46223.159722222219</v>
      </c>
      <c r="C51" s="9">
        <f>IF(COUNTIFS(funnel_events_sample!$A$2:$A$543,$A51,funnel_events_sample!$B$2:$B$543,"signup_started")=0,"",_xlfn.MINIFS(funnel_events_sample!$C$2:$C$543,funnel_events_sample!$A$2:$A$543,$A51,funnel_events_sample!$B$2:$B$543,"signup_started"))</f>
        <v>46223.166666666664</v>
      </c>
      <c r="D51" s="9" t="str">
        <f>IF(COUNTIFS(funnel_events_sample!$A$2:$A$543,$A51,funnel_events_sample!$B$2:$B$543,"details_filled")=0,"",_xlfn.MINIFS(funnel_events_sample!$C$2:$C$543,funnel_events_sample!$A$2:$A$543,$A51,funnel_events_sample!$B$2:$B$543,"details_filled"))</f>
        <v/>
      </c>
      <c r="E51" s="9">
        <f>IF(COUNTIFS(funnel_events_sample!$A$2:$A$543,$A51,funnel_events_sample!$B$2:$B$543,"email_verified")=0,"",_xlfn.MINIFS(funnel_events_sample!$C$2:$C$543,funnel_events_sample!$A$2:$A$543,$A51,funnel_events_sample!$B$2:$B$543,"email_verified"))</f>
        <v>46223.197916666664</v>
      </c>
      <c r="F51" s="9" t="str">
        <f>IF(COUNTIFS(funnel_events_sample!$A$2:$A$543,$A51,funnel_events_sample!$B$2:$B$543,"purchase_completed")=0,"",_xlfn.MINIFS(funnel_events_sample!$C$2:$C$543,funnel_events_sample!$A$2:$A$543,$A51,funnel_events_sample!$B$2:$B$543,"purchase_completed"))</f>
        <v/>
      </c>
      <c r="G51" s="11">
        <f t="shared" si="0"/>
        <v>6.9444444452528842E-3</v>
      </c>
      <c r="H51" s="11" t="str">
        <f t="shared" si="1"/>
        <v/>
      </c>
      <c r="I51" s="11" t="str">
        <f t="shared" si="2"/>
        <v/>
      </c>
      <c r="J51" s="11" t="str">
        <f t="shared" si="3"/>
        <v/>
      </c>
    </row>
    <row r="52" spans="1:10">
      <c r="A52" s="3" t="s">
        <v>8</v>
      </c>
      <c r="B52" s="9">
        <f>IF(COUNTIFS(funnel_events_sample!$A$2:$A$543,$A52,funnel_events_sample!$B$2:$B$543,"visited_site")=0,"",_xlfn.MINIFS(funnel_events_sample!$C$2:$C$543,funnel_events_sample!$A$2:$A$543,$A52,funnel_events_sample!$B$2:$B$543,"visited_site"))</f>
        <v>46223.169444444444</v>
      </c>
      <c r="C52" s="9">
        <f>IF(COUNTIFS(funnel_events_sample!$A$2:$A$543,$A52,funnel_events_sample!$B$2:$B$543,"signup_started")=0,"",_xlfn.MINIFS(funnel_events_sample!$C$2:$C$543,funnel_events_sample!$A$2:$A$543,$A52,funnel_events_sample!$B$2:$B$543,"signup_started"))</f>
        <v>46223.162499999999</v>
      </c>
      <c r="D52" s="9" t="str">
        <f>IF(COUNTIFS(funnel_events_sample!$A$2:$A$543,$A52,funnel_events_sample!$B$2:$B$543,"details_filled")=0,"",_xlfn.MINIFS(funnel_events_sample!$C$2:$C$543,funnel_events_sample!$A$2:$A$543,$A52,funnel_events_sample!$B$2:$B$543,"details_filled"))</f>
        <v/>
      </c>
      <c r="E52" s="9">
        <f>IF(COUNTIFS(funnel_events_sample!$A$2:$A$543,$A52,funnel_events_sample!$B$2:$B$543,"email_verified")=0,"",_xlfn.MINIFS(funnel_events_sample!$C$2:$C$543,funnel_events_sample!$A$2:$A$543,$A52,funnel_events_sample!$B$2:$B$543,"email_verified"))</f>
        <v>46223.180555555555</v>
      </c>
      <c r="F52" s="9" t="str">
        <f>IF(COUNTIFS(funnel_events_sample!$A$2:$A$543,$A52,funnel_events_sample!$B$2:$B$543,"purchase_completed")=0,"",_xlfn.MINIFS(funnel_events_sample!$C$2:$C$543,funnel_events_sample!$A$2:$A$543,$A52,funnel_events_sample!$B$2:$B$543,"purchase_completed"))</f>
        <v/>
      </c>
      <c r="G52" s="11" t="str">
        <f t="shared" si="0"/>
        <v/>
      </c>
      <c r="H52" s="11" t="str">
        <f t="shared" si="1"/>
        <v/>
      </c>
      <c r="I52" s="11" t="str">
        <f t="shared" si="2"/>
        <v/>
      </c>
      <c r="J52" s="11" t="str">
        <f t="shared" si="3"/>
        <v/>
      </c>
    </row>
    <row r="53" spans="1:10">
      <c r="A53" s="3" t="s">
        <v>15</v>
      </c>
      <c r="B53" s="9">
        <f>IF(COUNTIFS(funnel_events_sample!$A$2:$A$543,$A53,funnel_events_sample!$B$2:$B$543,"visited_site")=0,"",_xlfn.MINIFS(funnel_events_sample!$C$2:$C$543,funnel_events_sample!$A$2:$A$543,$A53,funnel_events_sample!$B$2:$B$543,"visited_site"))</f>
        <v>46223.154861111114</v>
      </c>
      <c r="C53" s="9">
        <f>IF(COUNTIFS(funnel_events_sample!$A$2:$A$543,$A53,funnel_events_sample!$B$2:$B$543,"signup_started")=0,"",_xlfn.MINIFS(funnel_events_sample!$C$2:$C$543,funnel_events_sample!$A$2:$A$543,$A53,funnel_events_sample!$B$2:$B$543,"signup_started"))</f>
        <v>46223.169444444444</v>
      </c>
      <c r="D53" s="9" t="str">
        <f>IF(COUNTIFS(funnel_events_sample!$A$2:$A$543,$A53,funnel_events_sample!$B$2:$B$543,"details_filled")=0,"",_xlfn.MINIFS(funnel_events_sample!$C$2:$C$543,funnel_events_sample!$A$2:$A$543,$A53,funnel_events_sample!$B$2:$B$543,"details_filled"))</f>
        <v/>
      </c>
      <c r="E53" s="9">
        <f>IF(COUNTIFS(funnel_events_sample!$A$2:$A$543,$A53,funnel_events_sample!$B$2:$B$543,"email_verified")=0,"",_xlfn.MINIFS(funnel_events_sample!$C$2:$C$543,funnel_events_sample!$A$2:$A$543,$A53,funnel_events_sample!$B$2:$B$543,"email_verified"))</f>
        <v>46223.181250000001</v>
      </c>
      <c r="F53" s="9" t="str">
        <f>IF(COUNTIFS(funnel_events_sample!$A$2:$A$543,$A53,funnel_events_sample!$B$2:$B$543,"purchase_completed")=0,"",_xlfn.MINIFS(funnel_events_sample!$C$2:$C$543,funnel_events_sample!$A$2:$A$543,$A53,funnel_events_sample!$B$2:$B$543,"purchase_completed"))</f>
        <v/>
      </c>
      <c r="G53" s="11">
        <f t="shared" si="0"/>
        <v>1.4583333329937886E-2</v>
      </c>
      <c r="H53" s="11" t="str">
        <f t="shared" si="1"/>
        <v/>
      </c>
      <c r="I53" s="11" t="str">
        <f t="shared" si="2"/>
        <v/>
      </c>
      <c r="J53" s="11" t="str">
        <f t="shared" si="3"/>
        <v/>
      </c>
    </row>
    <row r="54" spans="1:10">
      <c r="A54" s="3" t="s">
        <v>155</v>
      </c>
      <c r="B54" s="9">
        <f>IF(COUNTIFS(funnel_events_sample!$A$2:$A$543,$A54,funnel_events_sample!$B$2:$B$543,"visited_site")=0,"",_xlfn.MINIFS(funnel_events_sample!$C$2:$C$543,funnel_events_sample!$A$2:$A$543,$A54,funnel_events_sample!$B$2:$B$543,"visited_site"))</f>
        <v>46223.164583333331</v>
      </c>
      <c r="C54" s="9">
        <f>IF(COUNTIFS(funnel_events_sample!$A$2:$A$543,$A54,funnel_events_sample!$B$2:$B$543,"signup_started")=0,"",_xlfn.MINIFS(funnel_events_sample!$C$2:$C$543,funnel_events_sample!$A$2:$A$543,$A54,funnel_events_sample!$B$2:$B$543,"signup_started"))</f>
        <v>46223.179166666669</v>
      </c>
      <c r="D54" s="9" t="str">
        <f>IF(COUNTIFS(funnel_events_sample!$A$2:$A$543,$A54,funnel_events_sample!$B$2:$B$543,"details_filled")=0,"",_xlfn.MINIFS(funnel_events_sample!$C$2:$C$543,funnel_events_sample!$A$2:$A$543,$A54,funnel_events_sample!$B$2:$B$543,"details_filled"))</f>
        <v/>
      </c>
      <c r="E54" s="9">
        <f>IF(COUNTIFS(funnel_events_sample!$A$2:$A$543,$A54,funnel_events_sample!$B$2:$B$543,"email_verified")=0,"",_xlfn.MINIFS(funnel_events_sample!$C$2:$C$543,funnel_events_sample!$A$2:$A$543,$A54,funnel_events_sample!$B$2:$B$543,"email_verified"))</f>
        <v>46223.186805555553</v>
      </c>
      <c r="F54" s="9" t="str">
        <f>IF(COUNTIFS(funnel_events_sample!$A$2:$A$543,$A54,funnel_events_sample!$B$2:$B$543,"purchase_completed")=0,"",_xlfn.MINIFS(funnel_events_sample!$C$2:$C$543,funnel_events_sample!$A$2:$A$543,$A54,funnel_events_sample!$B$2:$B$543,"purchase_completed"))</f>
        <v/>
      </c>
      <c r="G54" s="11">
        <f t="shared" si="0"/>
        <v>1.4583333337213844E-2</v>
      </c>
      <c r="H54" s="11" t="str">
        <f t="shared" si="1"/>
        <v/>
      </c>
      <c r="I54" s="11" t="str">
        <f t="shared" si="2"/>
        <v/>
      </c>
      <c r="J54" s="11" t="str">
        <f t="shared" si="3"/>
        <v/>
      </c>
    </row>
    <row r="55" spans="1:10">
      <c r="A55" s="3" t="s">
        <v>51</v>
      </c>
      <c r="B55" s="9">
        <f>IF(COUNTIFS(funnel_events_sample!$A$2:$A$543,$A55,funnel_events_sample!$B$2:$B$543,"visited_site")=0,"",_xlfn.MINIFS(funnel_events_sample!$C$2:$C$543,funnel_events_sample!$A$2:$A$543,$A55,funnel_events_sample!$B$2:$B$543,"visited_site"))</f>
        <v>46223.148611111108</v>
      </c>
      <c r="C55" s="9">
        <f>IF(COUNTIFS(funnel_events_sample!$A$2:$A$543,$A55,funnel_events_sample!$B$2:$B$543,"signup_started")=0,"",_xlfn.MINIFS(funnel_events_sample!$C$2:$C$543,funnel_events_sample!$A$2:$A$543,$A55,funnel_events_sample!$B$2:$B$543,"signup_started"))</f>
        <v>46223.165277777778</v>
      </c>
      <c r="D55" s="9" t="str">
        <f>IF(COUNTIFS(funnel_events_sample!$A$2:$A$543,$A55,funnel_events_sample!$B$2:$B$543,"details_filled")=0,"",_xlfn.MINIFS(funnel_events_sample!$C$2:$C$543,funnel_events_sample!$A$2:$A$543,$A55,funnel_events_sample!$B$2:$B$543,"details_filled"))</f>
        <v/>
      </c>
      <c r="E55" s="9">
        <f>IF(COUNTIFS(funnel_events_sample!$A$2:$A$543,$A55,funnel_events_sample!$B$2:$B$543,"email_verified")=0,"",_xlfn.MINIFS(funnel_events_sample!$C$2:$C$543,funnel_events_sample!$A$2:$A$543,$A55,funnel_events_sample!$B$2:$B$543,"email_verified"))</f>
        <v>46223.197916666664</v>
      </c>
      <c r="F55" s="9" t="str">
        <f>IF(COUNTIFS(funnel_events_sample!$A$2:$A$543,$A55,funnel_events_sample!$B$2:$B$543,"purchase_completed")=0,"",_xlfn.MINIFS(funnel_events_sample!$C$2:$C$543,funnel_events_sample!$A$2:$A$543,$A55,funnel_events_sample!$B$2:$B$543,"purchase_completed"))</f>
        <v/>
      </c>
      <c r="G55" s="11">
        <f t="shared" si="0"/>
        <v>1.6666666670062114E-2</v>
      </c>
      <c r="H55" s="11" t="str">
        <f t="shared" si="1"/>
        <v/>
      </c>
      <c r="I55" s="11" t="str">
        <f t="shared" si="2"/>
        <v/>
      </c>
      <c r="J55" s="11" t="str">
        <f t="shared" si="3"/>
        <v/>
      </c>
    </row>
    <row r="56" spans="1:10">
      <c r="A56" s="3" t="s">
        <v>143</v>
      </c>
      <c r="B56" s="9">
        <f>IF(COUNTIFS(funnel_events_sample!$A$2:$A$543,$A56,funnel_events_sample!$B$2:$B$543,"visited_site")=0,"",_xlfn.MINIFS(funnel_events_sample!$C$2:$C$543,funnel_events_sample!$A$2:$A$543,$A56,funnel_events_sample!$B$2:$B$543,"visited_site"))</f>
        <v>46223.162499999999</v>
      </c>
      <c r="C56" s="9">
        <f>IF(COUNTIFS(funnel_events_sample!$A$2:$A$543,$A56,funnel_events_sample!$B$2:$B$543,"signup_started")=0,"",_xlfn.MINIFS(funnel_events_sample!$C$2:$C$543,funnel_events_sample!$A$2:$A$543,$A56,funnel_events_sample!$B$2:$B$543,"signup_started"))</f>
        <v>46223.168055555558</v>
      </c>
      <c r="D56" s="9" t="str">
        <f>IF(COUNTIFS(funnel_events_sample!$A$2:$A$543,$A56,funnel_events_sample!$B$2:$B$543,"details_filled")=0,"",_xlfn.MINIFS(funnel_events_sample!$C$2:$C$543,funnel_events_sample!$A$2:$A$543,$A56,funnel_events_sample!$B$2:$B$543,"details_filled"))</f>
        <v/>
      </c>
      <c r="E56" s="9">
        <f>IF(COUNTIFS(funnel_events_sample!$A$2:$A$543,$A56,funnel_events_sample!$B$2:$B$543,"email_verified")=0,"",_xlfn.MINIFS(funnel_events_sample!$C$2:$C$543,funnel_events_sample!$A$2:$A$543,$A56,funnel_events_sample!$B$2:$B$543,"email_verified"))</f>
        <v>46223.183333333334</v>
      </c>
      <c r="F56" s="9" t="str">
        <f>IF(COUNTIFS(funnel_events_sample!$A$2:$A$543,$A56,funnel_events_sample!$B$2:$B$543,"purchase_completed")=0,"",_xlfn.MINIFS(funnel_events_sample!$C$2:$C$543,funnel_events_sample!$A$2:$A$543,$A56,funnel_events_sample!$B$2:$B$543,"purchase_completed"))</f>
        <v/>
      </c>
      <c r="G56" s="11">
        <f t="shared" si="0"/>
        <v>5.5555555591126904E-3</v>
      </c>
      <c r="H56" s="11" t="str">
        <f t="shared" si="1"/>
        <v/>
      </c>
      <c r="I56" s="11" t="str">
        <f t="shared" si="2"/>
        <v/>
      </c>
      <c r="J56" s="11" t="str">
        <f t="shared" si="3"/>
        <v/>
      </c>
    </row>
    <row r="57" spans="1:10">
      <c r="A57" s="3" t="s">
        <v>171</v>
      </c>
      <c r="B57" s="9">
        <f>IF(COUNTIFS(funnel_events_sample!$A$2:$A$543,$A57,funnel_events_sample!$B$2:$B$543,"visited_site")=0,"",_xlfn.MINIFS(funnel_events_sample!$C$2:$C$543,funnel_events_sample!$A$2:$A$543,$A57,funnel_events_sample!$B$2:$B$543,"visited_site"))</f>
        <v>46223.168055555558</v>
      </c>
      <c r="C57" s="9">
        <f>IF(COUNTIFS(funnel_events_sample!$A$2:$A$543,$A57,funnel_events_sample!$B$2:$B$543,"signup_started")=0,"",_xlfn.MINIFS(funnel_events_sample!$C$2:$C$543,funnel_events_sample!$A$2:$A$543,$A57,funnel_events_sample!$B$2:$B$543,"signup_started"))</f>
        <v>46223.182638888888</v>
      </c>
      <c r="D57" s="9" t="str">
        <f>IF(COUNTIFS(funnel_events_sample!$A$2:$A$543,$A57,funnel_events_sample!$B$2:$B$543,"details_filled")=0,"",_xlfn.MINIFS(funnel_events_sample!$C$2:$C$543,funnel_events_sample!$A$2:$A$543,$A57,funnel_events_sample!$B$2:$B$543,"details_filled"))</f>
        <v/>
      </c>
      <c r="E57" s="9">
        <f>IF(COUNTIFS(funnel_events_sample!$A$2:$A$543,$A57,funnel_events_sample!$B$2:$B$543,"email_verified")=0,"",_xlfn.MINIFS(funnel_events_sample!$C$2:$C$543,funnel_events_sample!$A$2:$A$543,$A57,funnel_events_sample!$B$2:$B$543,"email_verified"))</f>
        <v>46223.196527777778</v>
      </c>
      <c r="F57" s="9" t="str">
        <f>IF(COUNTIFS(funnel_events_sample!$A$2:$A$543,$A57,funnel_events_sample!$B$2:$B$543,"purchase_completed")=0,"",_xlfn.MINIFS(funnel_events_sample!$C$2:$C$543,funnel_events_sample!$A$2:$A$543,$A57,funnel_events_sample!$B$2:$B$543,"purchase_completed"))</f>
        <v/>
      </c>
      <c r="G57" s="11">
        <f t="shared" si="0"/>
        <v>1.4583333329937886E-2</v>
      </c>
      <c r="H57" s="11" t="str">
        <f t="shared" si="1"/>
        <v/>
      </c>
      <c r="I57" s="11" t="str">
        <f t="shared" si="2"/>
        <v/>
      </c>
      <c r="J57" s="11" t="str">
        <f t="shared" si="3"/>
        <v/>
      </c>
    </row>
    <row r="58" spans="1:10">
      <c r="A58" s="3" t="s">
        <v>111</v>
      </c>
      <c r="B58" s="9">
        <f>IF(COUNTIFS(funnel_events_sample!$A$2:$A$543,$A58,funnel_events_sample!$B$2:$B$543,"visited_site")=0,"",_xlfn.MINIFS(funnel_events_sample!$C$2:$C$543,funnel_events_sample!$A$2:$A$543,$A58,funnel_events_sample!$B$2:$B$543,"visited_site"))</f>
        <v>46223.169444444444</v>
      </c>
      <c r="C58" s="9">
        <f>IF(COUNTIFS(funnel_events_sample!$A$2:$A$543,$A58,funnel_events_sample!$B$2:$B$543,"signup_started")=0,"",_xlfn.MINIFS(funnel_events_sample!$C$2:$C$543,funnel_events_sample!$A$2:$A$543,$A58,funnel_events_sample!$B$2:$B$543,"signup_started"))</f>
        <v>46223.175000000003</v>
      </c>
      <c r="D58" s="9" t="str">
        <f>IF(COUNTIFS(funnel_events_sample!$A$2:$A$543,$A58,funnel_events_sample!$B$2:$B$543,"details_filled")=0,"",_xlfn.MINIFS(funnel_events_sample!$C$2:$C$543,funnel_events_sample!$A$2:$A$543,$A58,funnel_events_sample!$B$2:$B$543,"details_filled"))</f>
        <v/>
      </c>
      <c r="E58" s="9">
        <f>IF(COUNTIFS(funnel_events_sample!$A$2:$A$543,$A58,funnel_events_sample!$B$2:$B$543,"email_verified")=0,"",_xlfn.MINIFS(funnel_events_sample!$C$2:$C$543,funnel_events_sample!$A$2:$A$543,$A58,funnel_events_sample!$B$2:$B$543,"email_verified"))</f>
        <v>46223.197916666664</v>
      </c>
      <c r="F58" s="9" t="str">
        <f>IF(COUNTIFS(funnel_events_sample!$A$2:$A$543,$A58,funnel_events_sample!$B$2:$B$543,"purchase_completed")=0,"",_xlfn.MINIFS(funnel_events_sample!$C$2:$C$543,funnel_events_sample!$A$2:$A$543,$A58,funnel_events_sample!$B$2:$B$543,"purchase_completed"))</f>
        <v/>
      </c>
      <c r="G58" s="11">
        <f t="shared" si="0"/>
        <v>5.5555555591126904E-3</v>
      </c>
      <c r="H58" s="11" t="str">
        <f t="shared" si="1"/>
        <v/>
      </c>
      <c r="I58" s="11" t="str">
        <f t="shared" si="2"/>
        <v/>
      </c>
      <c r="J58" s="11" t="str">
        <f t="shared" si="3"/>
        <v/>
      </c>
    </row>
    <row r="59" spans="1:10">
      <c r="A59" s="3" t="s">
        <v>191</v>
      </c>
      <c r="B59" s="9">
        <f>IF(COUNTIFS(funnel_events_sample!$A$2:$A$543,$A59,funnel_events_sample!$B$2:$B$543,"visited_site")=0,"",_xlfn.MINIFS(funnel_events_sample!$C$2:$C$543,funnel_events_sample!$A$2:$A$543,$A59,funnel_events_sample!$B$2:$B$543,"visited_site"))</f>
        <v>46223.157638888886</v>
      </c>
      <c r="C59" s="9">
        <f>IF(COUNTIFS(funnel_events_sample!$A$2:$A$543,$A59,funnel_events_sample!$B$2:$B$543,"signup_started")=0,"",_xlfn.MINIFS(funnel_events_sample!$C$2:$C$543,funnel_events_sample!$A$2:$A$543,$A59,funnel_events_sample!$B$2:$B$543,"signup_started"))</f>
        <v>46223.180555555555</v>
      </c>
      <c r="D59" s="9" t="str">
        <f>IF(COUNTIFS(funnel_events_sample!$A$2:$A$543,$A59,funnel_events_sample!$B$2:$B$543,"details_filled")=0,"",_xlfn.MINIFS(funnel_events_sample!$C$2:$C$543,funnel_events_sample!$A$2:$A$543,$A59,funnel_events_sample!$B$2:$B$543,"details_filled"))</f>
        <v/>
      </c>
      <c r="E59" s="9">
        <f>IF(COUNTIFS(funnel_events_sample!$A$2:$A$543,$A59,funnel_events_sample!$B$2:$B$543,"email_verified")=0,"",_xlfn.MINIFS(funnel_events_sample!$C$2:$C$543,funnel_events_sample!$A$2:$A$543,$A59,funnel_events_sample!$B$2:$B$543,"email_verified"))</f>
        <v>46223.195833333331</v>
      </c>
      <c r="F59" s="9" t="str">
        <f>IF(COUNTIFS(funnel_events_sample!$A$2:$A$543,$A59,funnel_events_sample!$B$2:$B$543,"purchase_completed")=0,"",_xlfn.MINIFS(funnel_events_sample!$C$2:$C$543,funnel_events_sample!$A$2:$A$543,$A59,funnel_events_sample!$B$2:$B$543,"purchase_completed"))</f>
        <v/>
      </c>
      <c r="G59" s="11">
        <f t="shared" si="0"/>
        <v>2.2916666668606922E-2</v>
      </c>
      <c r="H59" s="11" t="str">
        <f t="shared" si="1"/>
        <v/>
      </c>
      <c r="I59" s="11" t="str">
        <f t="shared" si="2"/>
        <v/>
      </c>
      <c r="J59" s="11" t="str">
        <f t="shared" si="3"/>
        <v/>
      </c>
    </row>
    <row r="60" spans="1:10">
      <c r="A60" s="3" t="s">
        <v>20</v>
      </c>
      <c r="B60" s="9">
        <f>IF(COUNTIFS(funnel_events_sample!$A$2:$A$543,$A60,funnel_events_sample!$B$2:$B$543,"visited_site")=0,"",_xlfn.MINIFS(funnel_events_sample!$C$2:$C$543,funnel_events_sample!$A$2:$A$543,$A60,funnel_events_sample!$B$2:$B$543,"visited_site"))</f>
        <v>46223.157638888886</v>
      </c>
      <c r="C60" s="9">
        <f>IF(COUNTIFS(funnel_events_sample!$A$2:$A$543,$A60,funnel_events_sample!$B$2:$B$543,"signup_started")=0,"",_xlfn.MINIFS(funnel_events_sample!$C$2:$C$543,funnel_events_sample!$A$2:$A$543,$A60,funnel_events_sample!$B$2:$B$543,"signup_started"))</f>
        <v>46223.158333333333</v>
      </c>
      <c r="D60" s="9" t="str">
        <f>IF(COUNTIFS(funnel_events_sample!$A$2:$A$543,$A60,funnel_events_sample!$B$2:$B$543,"details_filled")=0,"",_xlfn.MINIFS(funnel_events_sample!$C$2:$C$543,funnel_events_sample!$A$2:$A$543,$A60,funnel_events_sample!$B$2:$B$543,"details_filled"))</f>
        <v/>
      </c>
      <c r="E60" s="9">
        <f>IF(COUNTIFS(funnel_events_sample!$A$2:$A$543,$A60,funnel_events_sample!$B$2:$B$543,"email_verified")=0,"",_xlfn.MINIFS(funnel_events_sample!$C$2:$C$543,funnel_events_sample!$A$2:$A$543,$A60,funnel_events_sample!$B$2:$B$543,"email_verified"))</f>
        <v>46223.177083333336</v>
      </c>
      <c r="F60" s="9" t="str">
        <f>IF(COUNTIFS(funnel_events_sample!$A$2:$A$543,$A60,funnel_events_sample!$B$2:$B$543,"purchase_completed")=0,"",_xlfn.MINIFS(funnel_events_sample!$C$2:$C$543,funnel_events_sample!$A$2:$A$543,$A60,funnel_events_sample!$B$2:$B$543,"purchase_completed"))</f>
        <v/>
      </c>
      <c r="G60" s="11">
        <f t="shared" si="0"/>
        <v>6.944444467080757E-4</v>
      </c>
      <c r="H60" s="11" t="str">
        <f t="shared" si="1"/>
        <v/>
      </c>
      <c r="I60" s="11" t="str">
        <f t="shared" si="2"/>
        <v/>
      </c>
      <c r="J60" s="11" t="str">
        <f t="shared" si="3"/>
        <v/>
      </c>
    </row>
    <row r="61" spans="1:10">
      <c r="A61" s="3" t="s">
        <v>148</v>
      </c>
      <c r="B61" s="9">
        <f>IF(COUNTIFS(funnel_events_sample!$A$2:$A$543,$A61,funnel_events_sample!$B$2:$B$543,"visited_site")=0,"",_xlfn.MINIFS(funnel_events_sample!$C$2:$C$543,funnel_events_sample!$A$2:$A$543,$A61,funnel_events_sample!$B$2:$B$543,"visited_site"))</f>
        <v>46223.147916666669</v>
      </c>
      <c r="C61" s="9">
        <f>IF(COUNTIFS(funnel_events_sample!$A$2:$A$543,$A61,funnel_events_sample!$B$2:$B$543,"signup_started")=0,"",_xlfn.MINIFS(funnel_events_sample!$C$2:$C$543,funnel_events_sample!$A$2:$A$543,$A61,funnel_events_sample!$B$2:$B$543,"signup_started"))</f>
        <v>46223.167361111111</v>
      </c>
      <c r="D61" s="9" t="str">
        <f>IF(COUNTIFS(funnel_events_sample!$A$2:$A$543,$A61,funnel_events_sample!$B$2:$B$543,"details_filled")=0,"",_xlfn.MINIFS(funnel_events_sample!$C$2:$C$543,funnel_events_sample!$A$2:$A$543,$A61,funnel_events_sample!$B$2:$B$543,"details_filled"))</f>
        <v/>
      </c>
      <c r="E61" s="9">
        <f>IF(COUNTIFS(funnel_events_sample!$A$2:$A$543,$A61,funnel_events_sample!$B$2:$B$543,"email_verified")=0,"",_xlfn.MINIFS(funnel_events_sample!$C$2:$C$543,funnel_events_sample!$A$2:$A$543,$A61,funnel_events_sample!$B$2:$B$543,"email_verified"))</f>
        <v>46223.195138888892</v>
      </c>
      <c r="F61" s="9" t="str">
        <f>IF(COUNTIFS(funnel_events_sample!$A$2:$A$543,$A61,funnel_events_sample!$B$2:$B$543,"purchase_completed")=0,"",_xlfn.MINIFS(funnel_events_sample!$C$2:$C$543,funnel_events_sample!$A$2:$A$543,$A61,funnel_events_sample!$B$2:$B$543,"purchase_completed"))</f>
        <v/>
      </c>
      <c r="G61" s="11">
        <f t="shared" si="0"/>
        <v>1.9444444442342501E-2</v>
      </c>
      <c r="H61" s="11" t="str">
        <f t="shared" si="1"/>
        <v/>
      </c>
      <c r="I61" s="11" t="str">
        <f t="shared" si="2"/>
        <v/>
      </c>
      <c r="J61" s="11" t="str">
        <f t="shared" si="3"/>
        <v/>
      </c>
    </row>
    <row r="62" spans="1:10">
      <c r="A62" s="3" t="s">
        <v>198</v>
      </c>
      <c r="B62" s="9">
        <f>IF(COUNTIFS(funnel_events_sample!$A$2:$A$543,$A62,funnel_events_sample!$B$2:$B$543,"visited_site")=0,"",_xlfn.MINIFS(funnel_events_sample!$C$2:$C$543,funnel_events_sample!$A$2:$A$543,$A62,funnel_events_sample!$B$2:$B$543,"visited_site"))</f>
        <v>46223.170138888891</v>
      </c>
      <c r="C62" s="9">
        <f>IF(COUNTIFS(funnel_events_sample!$A$2:$A$543,$A62,funnel_events_sample!$B$2:$B$543,"signup_started")=0,"",_xlfn.MINIFS(funnel_events_sample!$C$2:$C$543,funnel_events_sample!$A$2:$A$543,$A62,funnel_events_sample!$B$2:$B$543,"signup_started"))</f>
        <v>46223.156944444447</v>
      </c>
      <c r="D62" s="9" t="str">
        <f>IF(COUNTIFS(funnel_events_sample!$A$2:$A$543,$A62,funnel_events_sample!$B$2:$B$543,"details_filled")=0,"",_xlfn.MINIFS(funnel_events_sample!$C$2:$C$543,funnel_events_sample!$A$2:$A$543,$A62,funnel_events_sample!$B$2:$B$543,"details_filled"))</f>
        <v/>
      </c>
      <c r="E62" s="9">
        <f>IF(COUNTIFS(funnel_events_sample!$A$2:$A$543,$A62,funnel_events_sample!$B$2:$B$543,"email_verified")=0,"",_xlfn.MINIFS(funnel_events_sample!$C$2:$C$543,funnel_events_sample!$A$2:$A$543,$A62,funnel_events_sample!$B$2:$B$543,"email_verified"))</f>
        <v>46223.200694444444</v>
      </c>
      <c r="F62" s="9" t="str">
        <f>IF(COUNTIFS(funnel_events_sample!$A$2:$A$543,$A62,funnel_events_sample!$B$2:$B$543,"purchase_completed")=0,"",_xlfn.MINIFS(funnel_events_sample!$C$2:$C$543,funnel_events_sample!$A$2:$A$543,$A62,funnel_events_sample!$B$2:$B$543,"purchase_completed"))</f>
        <v/>
      </c>
      <c r="G62" s="11" t="str">
        <f t="shared" si="0"/>
        <v/>
      </c>
      <c r="H62" s="11" t="str">
        <f t="shared" si="1"/>
        <v/>
      </c>
      <c r="I62" s="11" t="str">
        <f t="shared" si="2"/>
        <v/>
      </c>
      <c r="J62" s="11" t="str">
        <f t="shared" si="3"/>
        <v/>
      </c>
    </row>
    <row r="63" spans="1:10">
      <c r="A63" s="3" t="s">
        <v>98</v>
      </c>
      <c r="B63" s="9">
        <f>IF(COUNTIFS(funnel_events_sample!$A$2:$A$543,$A63,funnel_events_sample!$B$2:$B$543,"visited_site")=0,"",_xlfn.MINIFS(funnel_events_sample!$C$2:$C$543,funnel_events_sample!$A$2:$A$543,$A63,funnel_events_sample!$B$2:$B$543,"visited_site"))</f>
        <v>46223.147916666669</v>
      </c>
      <c r="C63" s="9">
        <f>IF(COUNTIFS(funnel_events_sample!$A$2:$A$543,$A63,funnel_events_sample!$B$2:$B$543,"signup_started")=0,"",_xlfn.MINIFS(funnel_events_sample!$C$2:$C$543,funnel_events_sample!$A$2:$A$543,$A63,funnel_events_sample!$B$2:$B$543,"signup_started"))</f>
        <v>46223.165277777778</v>
      </c>
      <c r="D63" s="9" t="str">
        <f>IF(COUNTIFS(funnel_events_sample!$A$2:$A$543,$A63,funnel_events_sample!$B$2:$B$543,"details_filled")=0,"",_xlfn.MINIFS(funnel_events_sample!$C$2:$C$543,funnel_events_sample!$A$2:$A$543,$A63,funnel_events_sample!$B$2:$B$543,"details_filled"))</f>
        <v/>
      </c>
      <c r="E63" s="9">
        <f>IF(COUNTIFS(funnel_events_sample!$A$2:$A$543,$A63,funnel_events_sample!$B$2:$B$543,"email_verified")=0,"",_xlfn.MINIFS(funnel_events_sample!$C$2:$C$543,funnel_events_sample!$A$2:$A$543,$A63,funnel_events_sample!$B$2:$B$543,"email_verified"))</f>
        <v>46223.183333333334</v>
      </c>
      <c r="F63" s="9" t="str">
        <f>IF(COUNTIFS(funnel_events_sample!$A$2:$A$543,$A63,funnel_events_sample!$B$2:$B$543,"purchase_completed")=0,"",_xlfn.MINIFS(funnel_events_sample!$C$2:$C$543,funnel_events_sample!$A$2:$A$543,$A63,funnel_events_sample!$B$2:$B$543,"purchase_completed"))</f>
        <v/>
      </c>
      <c r="G63" s="11">
        <f t="shared" si="0"/>
        <v>1.7361111109494232E-2</v>
      </c>
      <c r="H63" s="11" t="str">
        <f t="shared" si="1"/>
        <v/>
      </c>
      <c r="I63" s="11" t="str">
        <f t="shared" si="2"/>
        <v/>
      </c>
      <c r="J63" s="11" t="str">
        <f t="shared" si="3"/>
        <v/>
      </c>
    </row>
    <row r="64" spans="1:10">
      <c r="A64" s="3" t="s">
        <v>137</v>
      </c>
      <c r="B64" s="9">
        <f>IF(COUNTIFS(funnel_events_sample!$A$2:$A$543,$A64,funnel_events_sample!$B$2:$B$543,"visited_site")=0,"",_xlfn.MINIFS(funnel_events_sample!$C$2:$C$543,funnel_events_sample!$A$2:$A$543,$A64,funnel_events_sample!$B$2:$B$543,"visited_site"))</f>
        <v>46223.15902777778</v>
      </c>
      <c r="C64" s="9">
        <f>IF(COUNTIFS(funnel_events_sample!$A$2:$A$543,$A64,funnel_events_sample!$B$2:$B$543,"signup_started")=0,"",_xlfn.MINIFS(funnel_events_sample!$C$2:$C$543,funnel_events_sample!$A$2:$A$543,$A64,funnel_events_sample!$B$2:$B$543,"signup_started"))</f>
        <v>46223.174305555556</v>
      </c>
      <c r="D64" s="9" t="str">
        <f>IF(COUNTIFS(funnel_events_sample!$A$2:$A$543,$A64,funnel_events_sample!$B$2:$B$543,"details_filled")=0,"",_xlfn.MINIFS(funnel_events_sample!$C$2:$C$543,funnel_events_sample!$A$2:$A$543,$A64,funnel_events_sample!$B$2:$B$543,"details_filled"))</f>
        <v/>
      </c>
      <c r="E64" s="9">
        <f>IF(COUNTIFS(funnel_events_sample!$A$2:$A$543,$A64,funnel_events_sample!$B$2:$B$543,"email_verified")=0,"",_xlfn.MINIFS(funnel_events_sample!$C$2:$C$543,funnel_events_sample!$A$2:$A$543,$A64,funnel_events_sample!$B$2:$B$543,"email_verified"))</f>
        <v>46223.18472222222</v>
      </c>
      <c r="F64" s="9" t="str">
        <f>IF(COUNTIFS(funnel_events_sample!$A$2:$A$543,$A64,funnel_events_sample!$B$2:$B$543,"purchase_completed")=0,"",_xlfn.MINIFS(funnel_events_sample!$C$2:$C$543,funnel_events_sample!$A$2:$A$543,$A64,funnel_events_sample!$B$2:$B$543,"purchase_completed"))</f>
        <v/>
      </c>
      <c r="G64" s="11">
        <f t="shared" si="0"/>
        <v>1.5277777776645962E-2</v>
      </c>
      <c r="H64" s="11" t="str">
        <f t="shared" si="1"/>
        <v/>
      </c>
      <c r="I64" s="11" t="str">
        <f t="shared" si="2"/>
        <v/>
      </c>
      <c r="J64" s="11" t="str">
        <f t="shared" si="3"/>
        <v/>
      </c>
    </row>
    <row r="65" spans="1:10">
      <c r="A65" s="3" t="s">
        <v>154</v>
      </c>
      <c r="B65" s="9">
        <f>IF(COUNTIFS(funnel_events_sample!$A$2:$A$543,$A65,funnel_events_sample!$B$2:$B$543,"visited_site")=0,"",_xlfn.MINIFS(funnel_events_sample!$C$2:$C$543,funnel_events_sample!$A$2:$A$543,$A65,funnel_events_sample!$B$2:$B$543,"visited_site"))</f>
        <v>46223.150694444441</v>
      </c>
      <c r="C65" s="9">
        <f>IF(COUNTIFS(funnel_events_sample!$A$2:$A$543,$A65,funnel_events_sample!$B$2:$B$543,"signup_started")=0,"",_xlfn.MINIFS(funnel_events_sample!$C$2:$C$543,funnel_events_sample!$A$2:$A$543,$A65,funnel_events_sample!$B$2:$B$543,"signup_started"))</f>
        <v>46223.168055555558</v>
      </c>
      <c r="D65" s="9" t="str">
        <f>IF(COUNTIFS(funnel_events_sample!$A$2:$A$543,$A65,funnel_events_sample!$B$2:$B$543,"details_filled")=0,"",_xlfn.MINIFS(funnel_events_sample!$C$2:$C$543,funnel_events_sample!$A$2:$A$543,$A65,funnel_events_sample!$B$2:$B$543,"details_filled"))</f>
        <v/>
      </c>
      <c r="E65" s="9">
        <f>IF(COUNTIFS(funnel_events_sample!$A$2:$A$543,$A65,funnel_events_sample!$B$2:$B$543,"email_verified")=0,"",_xlfn.MINIFS(funnel_events_sample!$C$2:$C$543,funnel_events_sample!$A$2:$A$543,$A65,funnel_events_sample!$B$2:$B$543,"email_verified"))</f>
        <v>46223.179861111108</v>
      </c>
      <c r="F65" s="9" t="str">
        <f>IF(COUNTIFS(funnel_events_sample!$A$2:$A$543,$A65,funnel_events_sample!$B$2:$B$543,"purchase_completed")=0,"",_xlfn.MINIFS(funnel_events_sample!$C$2:$C$543,funnel_events_sample!$A$2:$A$543,$A65,funnel_events_sample!$B$2:$B$543,"purchase_completed"))</f>
        <v/>
      </c>
      <c r="G65" s="11">
        <f t="shared" si="0"/>
        <v>1.7361111116770189E-2</v>
      </c>
      <c r="H65" s="11" t="str">
        <f t="shared" si="1"/>
        <v/>
      </c>
      <c r="I65" s="11" t="str">
        <f t="shared" si="2"/>
        <v/>
      </c>
      <c r="J65" s="11" t="str">
        <f t="shared" si="3"/>
        <v/>
      </c>
    </row>
    <row r="66" spans="1:10">
      <c r="A66" s="3" t="s">
        <v>193</v>
      </c>
      <c r="B66" s="9">
        <f>IF(COUNTIFS(funnel_events_sample!$A$2:$A$543,$A66,funnel_events_sample!$B$2:$B$543,"visited_site")=0,"",_xlfn.MINIFS(funnel_events_sample!$C$2:$C$543,funnel_events_sample!$A$2:$A$543,$A66,funnel_events_sample!$B$2:$B$543,"visited_site"))</f>
        <v>46223.154166666667</v>
      </c>
      <c r="C66" s="9">
        <f>IF(COUNTIFS(funnel_events_sample!$A$2:$A$543,$A66,funnel_events_sample!$B$2:$B$543,"signup_started")=0,"",_xlfn.MINIFS(funnel_events_sample!$C$2:$C$543,funnel_events_sample!$A$2:$A$543,$A66,funnel_events_sample!$B$2:$B$543,"signup_started"))</f>
        <v>46223.175000000003</v>
      </c>
      <c r="D66" s="9" t="str">
        <f>IF(COUNTIFS(funnel_events_sample!$A$2:$A$543,$A66,funnel_events_sample!$B$2:$B$543,"details_filled")=0,"",_xlfn.MINIFS(funnel_events_sample!$C$2:$C$543,funnel_events_sample!$A$2:$A$543,$A66,funnel_events_sample!$B$2:$B$543,"details_filled"))</f>
        <v/>
      </c>
      <c r="E66" s="9">
        <f>IF(COUNTIFS(funnel_events_sample!$A$2:$A$543,$A66,funnel_events_sample!$B$2:$B$543,"email_verified")=0,"",_xlfn.MINIFS(funnel_events_sample!$C$2:$C$543,funnel_events_sample!$A$2:$A$543,$A66,funnel_events_sample!$B$2:$B$543,"email_verified"))</f>
        <v>46223.190972222219</v>
      </c>
      <c r="F66" s="9" t="str">
        <f>IF(COUNTIFS(funnel_events_sample!$A$2:$A$543,$A66,funnel_events_sample!$B$2:$B$543,"purchase_completed")=0,"",_xlfn.MINIFS(funnel_events_sample!$C$2:$C$543,funnel_events_sample!$A$2:$A$543,$A66,funnel_events_sample!$B$2:$B$543,"purchase_completed"))</f>
        <v/>
      </c>
      <c r="G66" s="11">
        <f t="shared" si="0"/>
        <v>2.0833333335758653E-2</v>
      </c>
      <c r="H66" s="11" t="str">
        <f t="shared" si="1"/>
        <v/>
      </c>
      <c r="I66" s="11" t="str">
        <f t="shared" si="2"/>
        <v/>
      </c>
      <c r="J66" s="11" t="str">
        <f t="shared" si="3"/>
        <v/>
      </c>
    </row>
    <row r="67" spans="1:10">
      <c r="A67" s="3" t="s">
        <v>9</v>
      </c>
      <c r="B67" s="9">
        <f>IF(COUNTIFS(funnel_events_sample!$A$2:$A$543,$A67,funnel_events_sample!$B$2:$B$543,"visited_site")=0,"",_xlfn.MINIFS(funnel_events_sample!$C$2:$C$543,funnel_events_sample!$A$2:$A$543,$A67,funnel_events_sample!$B$2:$B$543,"visited_site"))</f>
        <v>46223.154861111114</v>
      </c>
      <c r="C67" s="9">
        <f>IF(COUNTIFS(funnel_events_sample!$A$2:$A$543,$A67,funnel_events_sample!$B$2:$B$543,"signup_started")=0,"",_xlfn.MINIFS(funnel_events_sample!$C$2:$C$543,funnel_events_sample!$A$2:$A$543,$A67,funnel_events_sample!$B$2:$B$543,"signup_started"))</f>
        <v>46223.167361111111</v>
      </c>
      <c r="D67" s="9" t="str">
        <f>IF(COUNTIFS(funnel_events_sample!$A$2:$A$543,$A67,funnel_events_sample!$B$2:$B$543,"details_filled")=0,"",_xlfn.MINIFS(funnel_events_sample!$C$2:$C$543,funnel_events_sample!$A$2:$A$543,$A67,funnel_events_sample!$B$2:$B$543,"details_filled"))</f>
        <v/>
      </c>
      <c r="E67" s="9">
        <f>IF(COUNTIFS(funnel_events_sample!$A$2:$A$543,$A67,funnel_events_sample!$B$2:$B$543,"email_verified")=0,"",_xlfn.MINIFS(funnel_events_sample!$C$2:$C$543,funnel_events_sample!$A$2:$A$543,$A67,funnel_events_sample!$B$2:$B$543,"email_verified"))</f>
        <v>46223.189583333333</v>
      </c>
      <c r="F67" s="9" t="str">
        <f>IF(COUNTIFS(funnel_events_sample!$A$2:$A$543,$A67,funnel_events_sample!$B$2:$B$543,"purchase_completed")=0,"",_xlfn.MINIFS(funnel_events_sample!$C$2:$C$543,funnel_events_sample!$A$2:$A$543,$A67,funnel_events_sample!$B$2:$B$543,"purchase_completed"))</f>
        <v/>
      </c>
      <c r="G67" s="11">
        <f t="shared" ref="G67:G130" si="4">IF(OR(B67="",C67="",C67&lt;B67),"",C67-B67)</f>
        <v>1.2499999997089617E-2</v>
      </c>
      <c r="H67" s="11" t="str">
        <f t="shared" ref="H67:H130" si="5">IF(OR(C67="",D67="",D67&lt;C67),"",D67-C67)</f>
        <v/>
      </c>
      <c r="I67" s="11" t="str">
        <f t="shared" ref="I67:I130" si="6">IF(OR(D67="",E67="",E67&lt;D67),"",E67-D67)</f>
        <v/>
      </c>
      <c r="J67" s="11" t="str">
        <f t="shared" ref="J67:J130" si="7">IF(OR(E67="",F67="",F67&lt;E67),"",F67-E67)</f>
        <v/>
      </c>
    </row>
    <row r="68" spans="1:10">
      <c r="A68" s="3" t="s">
        <v>109</v>
      </c>
      <c r="B68" s="9">
        <f>IF(COUNTIFS(funnel_events_sample!$A$2:$A$543,$A68,funnel_events_sample!$B$2:$B$543,"visited_site")=0,"",_xlfn.MINIFS(funnel_events_sample!$C$2:$C$543,funnel_events_sample!$A$2:$A$543,$A68,funnel_events_sample!$B$2:$B$543,"visited_site"))</f>
        <v>46223.169444444444</v>
      </c>
      <c r="C68" s="9">
        <f>IF(COUNTIFS(funnel_events_sample!$A$2:$A$543,$A68,funnel_events_sample!$B$2:$B$543,"signup_started")=0,"",_xlfn.MINIFS(funnel_events_sample!$C$2:$C$543,funnel_events_sample!$A$2:$A$543,$A68,funnel_events_sample!$B$2:$B$543,"signup_started"))</f>
        <v>46223.17291666667</v>
      </c>
      <c r="D68" s="9" t="str">
        <f>IF(COUNTIFS(funnel_events_sample!$A$2:$A$543,$A68,funnel_events_sample!$B$2:$B$543,"details_filled")=0,"",_xlfn.MINIFS(funnel_events_sample!$C$2:$C$543,funnel_events_sample!$A$2:$A$543,$A68,funnel_events_sample!$B$2:$B$543,"details_filled"))</f>
        <v/>
      </c>
      <c r="E68" s="9">
        <f>IF(COUNTIFS(funnel_events_sample!$A$2:$A$543,$A68,funnel_events_sample!$B$2:$B$543,"email_verified")=0,"",_xlfn.MINIFS(funnel_events_sample!$C$2:$C$543,funnel_events_sample!$A$2:$A$543,$A68,funnel_events_sample!$B$2:$B$543,"email_verified"))</f>
        <v>46223.183333333334</v>
      </c>
      <c r="F68" s="9" t="str">
        <f>IF(COUNTIFS(funnel_events_sample!$A$2:$A$543,$A68,funnel_events_sample!$B$2:$B$543,"purchase_completed")=0,"",_xlfn.MINIFS(funnel_events_sample!$C$2:$C$543,funnel_events_sample!$A$2:$A$543,$A68,funnel_events_sample!$B$2:$B$543,"purchase_completed"))</f>
        <v/>
      </c>
      <c r="G68" s="11">
        <f t="shared" si="4"/>
        <v>3.4722222262644209E-3</v>
      </c>
      <c r="H68" s="11" t="str">
        <f t="shared" si="5"/>
        <v/>
      </c>
      <c r="I68" s="11" t="str">
        <f t="shared" si="6"/>
        <v/>
      </c>
      <c r="J68" s="11" t="str">
        <f t="shared" si="7"/>
        <v/>
      </c>
    </row>
    <row r="69" spans="1:10">
      <c r="A69" s="3" t="s">
        <v>104</v>
      </c>
      <c r="B69" s="9">
        <f>IF(COUNTIFS(funnel_events_sample!$A$2:$A$543,$A69,funnel_events_sample!$B$2:$B$543,"visited_site")=0,"",_xlfn.MINIFS(funnel_events_sample!$C$2:$C$543,funnel_events_sample!$A$2:$A$543,$A69,funnel_events_sample!$B$2:$B$543,"visited_site"))</f>
        <v>46223.169444444444</v>
      </c>
      <c r="C69" s="9">
        <f>IF(COUNTIFS(funnel_events_sample!$A$2:$A$543,$A69,funnel_events_sample!$B$2:$B$543,"signup_started")=0,"",_xlfn.MINIFS(funnel_events_sample!$C$2:$C$543,funnel_events_sample!$A$2:$A$543,$A69,funnel_events_sample!$B$2:$B$543,"signup_started"))</f>
        <v>46223.163888888892</v>
      </c>
      <c r="D69" s="9" t="str">
        <f>IF(COUNTIFS(funnel_events_sample!$A$2:$A$543,$A69,funnel_events_sample!$B$2:$B$543,"details_filled")=0,"",_xlfn.MINIFS(funnel_events_sample!$C$2:$C$543,funnel_events_sample!$A$2:$A$543,$A69,funnel_events_sample!$B$2:$B$543,"details_filled"))</f>
        <v/>
      </c>
      <c r="E69" s="9">
        <f>IF(COUNTIFS(funnel_events_sample!$A$2:$A$543,$A69,funnel_events_sample!$B$2:$B$543,"email_verified")=0,"",_xlfn.MINIFS(funnel_events_sample!$C$2:$C$543,funnel_events_sample!$A$2:$A$543,$A69,funnel_events_sample!$B$2:$B$543,"email_verified"))</f>
        <v>46223.178472222222</v>
      </c>
      <c r="F69" s="9" t="str">
        <f>IF(COUNTIFS(funnel_events_sample!$A$2:$A$543,$A69,funnel_events_sample!$B$2:$B$543,"purchase_completed")=0,"",_xlfn.MINIFS(funnel_events_sample!$C$2:$C$543,funnel_events_sample!$A$2:$A$543,$A69,funnel_events_sample!$B$2:$B$543,"purchase_completed"))</f>
        <v/>
      </c>
      <c r="G69" s="11" t="str">
        <f t="shared" si="4"/>
        <v/>
      </c>
      <c r="H69" s="11" t="str">
        <f t="shared" si="5"/>
        <v/>
      </c>
      <c r="I69" s="11" t="str">
        <f t="shared" si="6"/>
        <v/>
      </c>
      <c r="J69" s="11" t="str">
        <f t="shared" si="7"/>
        <v/>
      </c>
    </row>
    <row r="70" spans="1:10">
      <c r="A70" s="3" t="s">
        <v>150</v>
      </c>
      <c r="B70" s="9">
        <f>IF(COUNTIFS(funnel_events_sample!$A$2:$A$543,$A70,funnel_events_sample!$B$2:$B$543,"visited_site")=0,"",_xlfn.MINIFS(funnel_events_sample!$C$2:$C$543,funnel_events_sample!$A$2:$A$543,$A70,funnel_events_sample!$B$2:$B$543,"visited_site"))</f>
        <v>46223.172222222223</v>
      </c>
      <c r="C70" s="9">
        <f>IF(COUNTIFS(funnel_events_sample!$A$2:$A$543,$A70,funnel_events_sample!$B$2:$B$543,"signup_started")=0,"",_xlfn.MINIFS(funnel_events_sample!$C$2:$C$543,funnel_events_sample!$A$2:$A$543,$A70,funnel_events_sample!$B$2:$B$543,"signup_started"))</f>
        <v>46223.161805555559</v>
      </c>
      <c r="D70" s="9" t="str">
        <f>IF(COUNTIFS(funnel_events_sample!$A$2:$A$543,$A70,funnel_events_sample!$B$2:$B$543,"details_filled")=0,"",_xlfn.MINIFS(funnel_events_sample!$C$2:$C$543,funnel_events_sample!$A$2:$A$543,$A70,funnel_events_sample!$B$2:$B$543,"details_filled"))</f>
        <v/>
      </c>
      <c r="E70" s="9">
        <f>IF(COUNTIFS(funnel_events_sample!$A$2:$A$543,$A70,funnel_events_sample!$B$2:$B$543,"email_verified")=0,"",_xlfn.MINIFS(funnel_events_sample!$C$2:$C$543,funnel_events_sample!$A$2:$A$543,$A70,funnel_events_sample!$B$2:$B$543,"email_verified"))</f>
        <v>46223.203472222223</v>
      </c>
      <c r="F70" s="9" t="str">
        <f>IF(COUNTIFS(funnel_events_sample!$A$2:$A$543,$A70,funnel_events_sample!$B$2:$B$543,"purchase_completed")=0,"",_xlfn.MINIFS(funnel_events_sample!$C$2:$C$543,funnel_events_sample!$A$2:$A$543,$A70,funnel_events_sample!$B$2:$B$543,"purchase_completed"))</f>
        <v/>
      </c>
      <c r="G70" s="11" t="str">
        <f t="shared" si="4"/>
        <v/>
      </c>
      <c r="H70" s="11" t="str">
        <f t="shared" si="5"/>
        <v/>
      </c>
      <c r="I70" s="11" t="str">
        <f t="shared" si="6"/>
        <v/>
      </c>
      <c r="J70" s="11" t="str">
        <f t="shared" si="7"/>
        <v/>
      </c>
    </row>
    <row r="71" spans="1:10">
      <c r="A71" s="3" t="s">
        <v>106</v>
      </c>
      <c r="B71" s="9">
        <f>IF(COUNTIFS(funnel_events_sample!$A$2:$A$543,$A71,funnel_events_sample!$B$2:$B$543,"visited_site")=0,"",_xlfn.MINIFS(funnel_events_sample!$C$2:$C$543,funnel_events_sample!$A$2:$A$543,$A71,funnel_events_sample!$B$2:$B$543,"visited_site"))</f>
        <v>46223.152083333334</v>
      </c>
      <c r="C71" s="9">
        <f>IF(COUNTIFS(funnel_events_sample!$A$2:$A$543,$A71,funnel_events_sample!$B$2:$B$543,"signup_started")=0,"",_xlfn.MINIFS(funnel_events_sample!$C$2:$C$543,funnel_events_sample!$A$2:$A$543,$A71,funnel_events_sample!$B$2:$B$543,"signup_started"))</f>
        <v>46223.162499999999</v>
      </c>
      <c r="D71" s="9" t="str">
        <f>IF(COUNTIFS(funnel_events_sample!$A$2:$A$543,$A71,funnel_events_sample!$B$2:$B$543,"details_filled")=0,"",_xlfn.MINIFS(funnel_events_sample!$C$2:$C$543,funnel_events_sample!$A$2:$A$543,$A71,funnel_events_sample!$B$2:$B$543,"details_filled"))</f>
        <v/>
      </c>
      <c r="E71" s="9">
        <f>IF(COUNTIFS(funnel_events_sample!$A$2:$A$543,$A71,funnel_events_sample!$B$2:$B$543,"email_verified")=0,"",_xlfn.MINIFS(funnel_events_sample!$C$2:$C$543,funnel_events_sample!$A$2:$A$543,$A71,funnel_events_sample!$B$2:$B$543,"email_verified"))</f>
        <v>46223.192361111112</v>
      </c>
      <c r="F71" s="9" t="str">
        <f>IF(COUNTIFS(funnel_events_sample!$A$2:$A$543,$A71,funnel_events_sample!$B$2:$B$543,"purchase_completed")=0,"",_xlfn.MINIFS(funnel_events_sample!$C$2:$C$543,funnel_events_sample!$A$2:$A$543,$A71,funnel_events_sample!$B$2:$B$543,"purchase_completed"))</f>
        <v/>
      </c>
      <c r="G71" s="11">
        <f t="shared" si="4"/>
        <v>1.0416666664241347E-2</v>
      </c>
      <c r="H71" s="11" t="str">
        <f t="shared" si="5"/>
        <v/>
      </c>
      <c r="I71" s="11" t="str">
        <f t="shared" si="6"/>
        <v/>
      </c>
      <c r="J71" s="11" t="str">
        <f t="shared" si="7"/>
        <v/>
      </c>
    </row>
    <row r="72" spans="1:10">
      <c r="A72" s="3" t="s">
        <v>13</v>
      </c>
      <c r="B72" s="9">
        <f>IF(COUNTIFS(funnel_events_sample!$A$2:$A$543,$A72,funnel_events_sample!$B$2:$B$543,"visited_site")=0,"",_xlfn.MINIFS(funnel_events_sample!$C$2:$C$543,funnel_events_sample!$A$2:$A$543,$A72,funnel_events_sample!$B$2:$B$543,"visited_site"))</f>
        <v>46223.165277777778</v>
      </c>
      <c r="C72" s="9">
        <f>IF(COUNTIFS(funnel_events_sample!$A$2:$A$543,$A72,funnel_events_sample!$B$2:$B$543,"signup_started")=0,"",_xlfn.MINIFS(funnel_events_sample!$C$2:$C$543,funnel_events_sample!$A$2:$A$543,$A72,funnel_events_sample!$B$2:$B$543,"signup_started"))</f>
        <v>46223.157638888886</v>
      </c>
      <c r="D72" s="9" t="str">
        <f>IF(COUNTIFS(funnel_events_sample!$A$2:$A$543,$A72,funnel_events_sample!$B$2:$B$543,"details_filled")=0,"",_xlfn.MINIFS(funnel_events_sample!$C$2:$C$543,funnel_events_sample!$A$2:$A$543,$A72,funnel_events_sample!$B$2:$B$543,"details_filled"))</f>
        <v/>
      </c>
      <c r="E72" s="9">
        <f>IF(COUNTIFS(funnel_events_sample!$A$2:$A$543,$A72,funnel_events_sample!$B$2:$B$543,"email_verified")=0,"",_xlfn.MINIFS(funnel_events_sample!$C$2:$C$543,funnel_events_sample!$A$2:$A$543,$A72,funnel_events_sample!$B$2:$B$543,"email_verified"))</f>
        <v>46223.200694444444</v>
      </c>
      <c r="F72" s="9" t="str">
        <f>IF(COUNTIFS(funnel_events_sample!$A$2:$A$543,$A72,funnel_events_sample!$B$2:$B$543,"purchase_completed")=0,"",_xlfn.MINIFS(funnel_events_sample!$C$2:$C$543,funnel_events_sample!$A$2:$A$543,$A72,funnel_events_sample!$B$2:$B$543,"purchase_completed"))</f>
        <v/>
      </c>
      <c r="G72" s="11" t="str">
        <f t="shared" si="4"/>
        <v/>
      </c>
      <c r="H72" s="11" t="str">
        <f t="shared" si="5"/>
        <v/>
      </c>
      <c r="I72" s="11" t="str">
        <f t="shared" si="6"/>
        <v/>
      </c>
      <c r="J72" s="11" t="str">
        <f t="shared" si="7"/>
        <v/>
      </c>
    </row>
    <row r="73" spans="1:10">
      <c r="A73" s="3" t="s">
        <v>7</v>
      </c>
      <c r="B73" s="9">
        <f>IF(COUNTIFS(funnel_events_sample!$A$2:$A$543,$A73,funnel_events_sample!$B$2:$B$543,"visited_site")=0,"",_xlfn.MINIFS(funnel_events_sample!$C$2:$C$543,funnel_events_sample!$A$2:$A$543,$A73,funnel_events_sample!$B$2:$B$543,"visited_site"))</f>
        <v>46223.157638888886</v>
      </c>
      <c r="C73" s="9">
        <f>IF(COUNTIFS(funnel_events_sample!$A$2:$A$543,$A73,funnel_events_sample!$B$2:$B$543,"signup_started")=0,"",_xlfn.MINIFS(funnel_events_sample!$C$2:$C$543,funnel_events_sample!$A$2:$A$543,$A73,funnel_events_sample!$B$2:$B$543,"signup_started"))</f>
        <v>46223.157638888886</v>
      </c>
      <c r="D73" s="9" t="str">
        <f>IF(COUNTIFS(funnel_events_sample!$A$2:$A$543,$A73,funnel_events_sample!$B$2:$B$543,"details_filled")=0,"",_xlfn.MINIFS(funnel_events_sample!$C$2:$C$543,funnel_events_sample!$A$2:$A$543,$A73,funnel_events_sample!$B$2:$B$543,"details_filled"))</f>
        <v/>
      </c>
      <c r="E73" s="9">
        <f>IF(COUNTIFS(funnel_events_sample!$A$2:$A$543,$A73,funnel_events_sample!$B$2:$B$543,"email_verified")=0,"",_xlfn.MINIFS(funnel_events_sample!$C$2:$C$543,funnel_events_sample!$A$2:$A$543,$A73,funnel_events_sample!$B$2:$B$543,"email_verified"))</f>
        <v>46223.19027777778</v>
      </c>
      <c r="F73" s="9" t="str">
        <f>IF(COUNTIFS(funnel_events_sample!$A$2:$A$543,$A73,funnel_events_sample!$B$2:$B$543,"purchase_completed")=0,"",_xlfn.MINIFS(funnel_events_sample!$C$2:$C$543,funnel_events_sample!$A$2:$A$543,$A73,funnel_events_sample!$B$2:$B$543,"purchase_completed"))</f>
        <v/>
      </c>
      <c r="G73" s="11">
        <f t="shared" si="4"/>
        <v>0</v>
      </c>
      <c r="H73" s="11" t="str">
        <f t="shared" si="5"/>
        <v/>
      </c>
      <c r="I73" s="11" t="str">
        <f t="shared" si="6"/>
        <v/>
      </c>
      <c r="J73" s="11" t="str">
        <f t="shared" si="7"/>
        <v/>
      </c>
    </row>
    <row r="74" spans="1:10">
      <c r="A74" s="3" t="s">
        <v>47</v>
      </c>
      <c r="B74" s="9">
        <f>IF(COUNTIFS(funnel_events_sample!$A$2:$A$543,$A74,funnel_events_sample!$B$2:$B$543,"visited_site")=0,"",_xlfn.MINIFS(funnel_events_sample!$C$2:$C$543,funnel_events_sample!$A$2:$A$543,$A74,funnel_events_sample!$B$2:$B$543,"visited_site"))</f>
        <v>46223.168055555558</v>
      </c>
      <c r="C74" s="9">
        <f>IF(COUNTIFS(funnel_events_sample!$A$2:$A$543,$A74,funnel_events_sample!$B$2:$B$543,"signup_started")=0,"",_xlfn.MINIFS(funnel_events_sample!$C$2:$C$543,funnel_events_sample!$A$2:$A$543,$A74,funnel_events_sample!$B$2:$B$543,"signup_started"))</f>
        <v>46223.168055555558</v>
      </c>
      <c r="D74" s="9" t="str">
        <f>IF(COUNTIFS(funnel_events_sample!$A$2:$A$543,$A74,funnel_events_sample!$B$2:$B$543,"details_filled")=0,"",_xlfn.MINIFS(funnel_events_sample!$C$2:$C$543,funnel_events_sample!$A$2:$A$543,$A74,funnel_events_sample!$B$2:$B$543,"details_filled"))</f>
        <v/>
      </c>
      <c r="E74" s="9">
        <f>IF(COUNTIFS(funnel_events_sample!$A$2:$A$543,$A74,funnel_events_sample!$B$2:$B$543,"email_verified")=0,"",_xlfn.MINIFS(funnel_events_sample!$C$2:$C$543,funnel_events_sample!$A$2:$A$543,$A74,funnel_events_sample!$B$2:$B$543,"email_verified"))</f>
        <v>46223.186805555553</v>
      </c>
      <c r="F74" s="9" t="str">
        <f>IF(COUNTIFS(funnel_events_sample!$A$2:$A$543,$A74,funnel_events_sample!$B$2:$B$543,"purchase_completed")=0,"",_xlfn.MINIFS(funnel_events_sample!$C$2:$C$543,funnel_events_sample!$A$2:$A$543,$A74,funnel_events_sample!$B$2:$B$543,"purchase_completed"))</f>
        <v/>
      </c>
      <c r="G74" s="11">
        <f t="shared" si="4"/>
        <v>0</v>
      </c>
      <c r="H74" s="11" t="str">
        <f t="shared" si="5"/>
        <v/>
      </c>
      <c r="I74" s="11" t="str">
        <f t="shared" si="6"/>
        <v/>
      </c>
      <c r="J74" s="11" t="str">
        <f t="shared" si="7"/>
        <v/>
      </c>
    </row>
    <row r="75" spans="1:10">
      <c r="A75" s="3" t="s">
        <v>163</v>
      </c>
      <c r="B75" s="9">
        <f>IF(COUNTIFS(funnel_events_sample!$A$2:$A$543,$A75,funnel_events_sample!$B$2:$B$543,"visited_site")=0,"",_xlfn.MINIFS(funnel_events_sample!$C$2:$C$543,funnel_events_sample!$A$2:$A$543,$A75,funnel_events_sample!$B$2:$B$543,"visited_site"))</f>
        <v>46223.171527777777</v>
      </c>
      <c r="C75" s="9">
        <f>IF(COUNTIFS(funnel_events_sample!$A$2:$A$543,$A75,funnel_events_sample!$B$2:$B$543,"signup_started")=0,"",_xlfn.MINIFS(funnel_events_sample!$C$2:$C$543,funnel_events_sample!$A$2:$A$543,$A75,funnel_events_sample!$B$2:$B$543,"signup_started"))</f>
        <v>46223.162499999999</v>
      </c>
      <c r="D75" s="9" t="str">
        <f>IF(COUNTIFS(funnel_events_sample!$A$2:$A$543,$A75,funnel_events_sample!$B$2:$B$543,"details_filled")=0,"",_xlfn.MINIFS(funnel_events_sample!$C$2:$C$543,funnel_events_sample!$A$2:$A$543,$A75,funnel_events_sample!$B$2:$B$543,"details_filled"))</f>
        <v/>
      </c>
      <c r="E75" s="9">
        <f>IF(COUNTIFS(funnel_events_sample!$A$2:$A$543,$A75,funnel_events_sample!$B$2:$B$543,"email_verified")=0,"",_xlfn.MINIFS(funnel_events_sample!$C$2:$C$543,funnel_events_sample!$A$2:$A$543,$A75,funnel_events_sample!$B$2:$B$543,"email_verified"))</f>
        <v>46223.177777777775</v>
      </c>
      <c r="F75" s="9" t="str">
        <f>IF(COUNTIFS(funnel_events_sample!$A$2:$A$543,$A75,funnel_events_sample!$B$2:$B$543,"purchase_completed")=0,"",_xlfn.MINIFS(funnel_events_sample!$C$2:$C$543,funnel_events_sample!$A$2:$A$543,$A75,funnel_events_sample!$B$2:$B$543,"purchase_completed"))</f>
        <v/>
      </c>
      <c r="G75" s="11" t="str">
        <f t="shared" si="4"/>
        <v/>
      </c>
      <c r="H75" s="11" t="str">
        <f t="shared" si="5"/>
        <v/>
      </c>
      <c r="I75" s="11" t="str">
        <f t="shared" si="6"/>
        <v/>
      </c>
      <c r="J75" s="11" t="str">
        <f t="shared" si="7"/>
        <v/>
      </c>
    </row>
    <row r="76" spans="1:10">
      <c r="A76" s="3" t="s">
        <v>127</v>
      </c>
      <c r="B76" s="9">
        <f>IF(COUNTIFS(funnel_events_sample!$A$2:$A$543,$A76,funnel_events_sample!$B$2:$B$543,"visited_site")=0,"",_xlfn.MINIFS(funnel_events_sample!$C$2:$C$543,funnel_events_sample!$A$2:$A$543,$A76,funnel_events_sample!$B$2:$B$543,"visited_site"))</f>
        <v>46223.147222222222</v>
      </c>
      <c r="C76" s="9">
        <f>IF(COUNTIFS(funnel_events_sample!$A$2:$A$543,$A76,funnel_events_sample!$B$2:$B$543,"signup_started")=0,"",_xlfn.MINIFS(funnel_events_sample!$C$2:$C$543,funnel_events_sample!$A$2:$A$543,$A76,funnel_events_sample!$B$2:$B$543,"signup_started"))</f>
        <v>46223.180555555555</v>
      </c>
      <c r="D76" s="9" t="str">
        <f>IF(COUNTIFS(funnel_events_sample!$A$2:$A$543,$A76,funnel_events_sample!$B$2:$B$543,"details_filled")=0,"",_xlfn.MINIFS(funnel_events_sample!$C$2:$C$543,funnel_events_sample!$A$2:$A$543,$A76,funnel_events_sample!$B$2:$B$543,"details_filled"))</f>
        <v/>
      </c>
      <c r="E76" s="9">
        <f>IF(COUNTIFS(funnel_events_sample!$A$2:$A$543,$A76,funnel_events_sample!$B$2:$B$543,"email_verified")=0,"",_xlfn.MINIFS(funnel_events_sample!$C$2:$C$543,funnel_events_sample!$A$2:$A$543,$A76,funnel_events_sample!$B$2:$B$543,"email_verified"))</f>
        <v>46223.177083333336</v>
      </c>
      <c r="F76" s="9" t="str">
        <f>IF(COUNTIFS(funnel_events_sample!$A$2:$A$543,$A76,funnel_events_sample!$B$2:$B$543,"purchase_completed")=0,"",_xlfn.MINIFS(funnel_events_sample!$C$2:$C$543,funnel_events_sample!$A$2:$A$543,$A76,funnel_events_sample!$B$2:$B$543,"purchase_completed"))</f>
        <v/>
      </c>
      <c r="G76" s="11">
        <f t="shared" si="4"/>
        <v>3.3333333332848269E-2</v>
      </c>
      <c r="H76" s="11" t="str">
        <f t="shared" si="5"/>
        <v/>
      </c>
      <c r="I76" s="11" t="str">
        <f t="shared" si="6"/>
        <v/>
      </c>
      <c r="J76" s="11" t="str">
        <f t="shared" si="7"/>
        <v/>
      </c>
    </row>
    <row r="77" spans="1:10">
      <c r="A77" s="3" t="s">
        <v>55</v>
      </c>
      <c r="B77" s="9">
        <f>IF(COUNTIFS(funnel_events_sample!$A$2:$A$543,$A77,funnel_events_sample!$B$2:$B$543,"visited_site")=0,"",_xlfn.MINIFS(funnel_events_sample!$C$2:$C$543,funnel_events_sample!$A$2:$A$543,$A77,funnel_events_sample!$B$2:$B$543,"visited_site"))</f>
        <v>46223.163888888892</v>
      </c>
      <c r="C77" s="9">
        <f>IF(COUNTIFS(funnel_events_sample!$A$2:$A$543,$A77,funnel_events_sample!$B$2:$B$543,"signup_started")=0,"",_xlfn.MINIFS(funnel_events_sample!$C$2:$C$543,funnel_events_sample!$A$2:$A$543,$A77,funnel_events_sample!$B$2:$B$543,"signup_started"))</f>
        <v>46223.160416666666</v>
      </c>
      <c r="D77" s="9" t="str">
        <f>IF(COUNTIFS(funnel_events_sample!$A$2:$A$543,$A77,funnel_events_sample!$B$2:$B$543,"details_filled")=0,"",_xlfn.MINIFS(funnel_events_sample!$C$2:$C$543,funnel_events_sample!$A$2:$A$543,$A77,funnel_events_sample!$B$2:$B$543,"details_filled"))</f>
        <v/>
      </c>
      <c r="E77" s="9">
        <f>IF(COUNTIFS(funnel_events_sample!$A$2:$A$543,$A77,funnel_events_sample!$B$2:$B$543,"email_verified")=0,"",_xlfn.MINIFS(funnel_events_sample!$C$2:$C$543,funnel_events_sample!$A$2:$A$543,$A77,funnel_events_sample!$B$2:$B$543,"email_verified"))</f>
        <v>46223.199305555558</v>
      </c>
      <c r="F77" s="9" t="str">
        <f>IF(COUNTIFS(funnel_events_sample!$A$2:$A$543,$A77,funnel_events_sample!$B$2:$B$543,"purchase_completed")=0,"",_xlfn.MINIFS(funnel_events_sample!$C$2:$C$543,funnel_events_sample!$A$2:$A$543,$A77,funnel_events_sample!$B$2:$B$543,"purchase_completed"))</f>
        <v/>
      </c>
      <c r="G77" s="11" t="str">
        <f t="shared" si="4"/>
        <v/>
      </c>
      <c r="H77" s="11" t="str">
        <f t="shared" si="5"/>
        <v/>
      </c>
      <c r="I77" s="11" t="str">
        <f t="shared" si="6"/>
        <v/>
      </c>
      <c r="J77" s="11" t="str">
        <f t="shared" si="7"/>
        <v/>
      </c>
    </row>
    <row r="78" spans="1:10">
      <c r="A78" s="3" t="s">
        <v>11</v>
      </c>
      <c r="B78" s="9">
        <f>IF(COUNTIFS(funnel_events_sample!$A$2:$A$543,$A78,funnel_events_sample!$B$2:$B$543,"visited_site")=0,"",_xlfn.MINIFS(funnel_events_sample!$C$2:$C$543,funnel_events_sample!$A$2:$A$543,$A78,funnel_events_sample!$B$2:$B$543,"visited_site"))</f>
        <v>46223.166666666664</v>
      </c>
      <c r="C78" s="9">
        <f>IF(COUNTIFS(funnel_events_sample!$A$2:$A$543,$A78,funnel_events_sample!$B$2:$B$543,"signup_started")=0,"",_xlfn.MINIFS(funnel_events_sample!$C$2:$C$543,funnel_events_sample!$A$2:$A$543,$A78,funnel_events_sample!$B$2:$B$543,"signup_started"))</f>
        <v>46223.179861111108</v>
      </c>
      <c r="D78" s="9" t="str">
        <f>IF(COUNTIFS(funnel_events_sample!$A$2:$A$543,$A78,funnel_events_sample!$B$2:$B$543,"details_filled")=0,"",_xlfn.MINIFS(funnel_events_sample!$C$2:$C$543,funnel_events_sample!$A$2:$A$543,$A78,funnel_events_sample!$B$2:$B$543,"details_filled"))</f>
        <v/>
      </c>
      <c r="E78" s="9">
        <f>IF(COUNTIFS(funnel_events_sample!$A$2:$A$543,$A78,funnel_events_sample!$B$2:$B$543,"email_verified")=0,"",_xlfn.MINIFS(funnel_events_sample!$C$2:$C$543,funnel_events_sample!$A$2:$A$543,$A78,funnel_events_sample!$B$2:$B$543,"email_verified"))</f>
        <v>46223.19027777778</v>
      </c>
      <c r="F78" s="9" t="str">
        <f>IF(COUNTIFS(funnel_events_sample!$A$2:$A$543,$A78,funnel_events_sample!$B$2:$B$543,"purchase_completed")=0,"",_xlfn.MINIFS(funnel_events_sample!$C$2:$C$543,funnel_events_sample!$A$2:$A$543,$A78,funnel_events_sample!$B$2:$B$543,"purchase_completed"))</f>
        <v/>
      </c>
      <c r="G78" s="11">
        <f t="shared" si="4"/>
        <v>1.3194444443797693E-2</v>
      </c>
      <c r="H78" s="11" t="str">
        <f t="shared" si="5"/>
        <v/>
      </c>
      <c r="I78" s="11" t="str">
        <f t="shared" si="6"/>
        <v/>
      </c>
      <c r="J78" s="11" t="str">
        <f t="shared" si="7"/>
        <v/>
      </c>
    </row>
    <row r="79" spans="1:10">
      <c r="A79" s="3" t="s">
        <v>167</v>
      </c>
      <c r="B79" s="9">
        <f>IF(COUNTIFS(funnel_events_sample!$A$2:$A$543,$A79,funnel_events_sample!$B$2:$B$543,"visited_site")=0,"",_xlfn.MINIFS(funnel_events_sample!$C$2:$C$543,funnel_events_sample!$A$2:$A$543,$A79,funnel_events_sample!$B$2:$B$543,"visited_site"))</f>
        <v>46223.149305555555</v>
      </c>
      <c r="C79" s="9">
        <f>IF(COUNTIFS(funnel_events_sample!$A$2:$A$543,$A79,funnel_events_sample!$B$2:$B$543,"signup_started")=0,"",_xlfn.MINIFS(funnel_events_sample!$C$2:$C$543,funnel_events_sample!$A$2:$A$543,$A79,funnel_events_sample!$B$2:$B$543,"signup_started"))</f>
        <v>46223.178472222222</v>
      </c>
      <c r="D79" s="9" t="str">
        <f>IF(COUNTIFS(funnel_events_sample!$A$2:$A$543,$A79,funnel_events_sample!$B$2:$B$543,"details_filled")=0,"",_xlfn.MINIFS(funnel_events_sample!$C$2:$C$543,funnel_events_sample!$A$2:$A$543,$A79,funnel_events_sample!$B$2:$B$543,"details_filled"))</f>
        <v/>
      </c>
      <c r="E79" s="9">
        <f>IF(COUNTIFS(funnel_events_sample!$A$2:$A$543,$A79,funnel_events_sample!$B$2:$B$543,"email_verified")=0,"",_xlfn.MINIFS(funnel_events_sample!$C$2:$C$543,funnel_events_sample!$A$2:$A$543,$A79,funnel_events_sample!$B$2:$B$543,"email_verified"))</f>
        <v>46223.188888888886</v>
      </c>
      <c r="F79" s="9" t="str">
        <f>IF(COUNTIFS(funnel_events_sample!$A$2:$A$543,$A79,funnel_events_sample!$B$2:$B$543,"purchase_completed")=0,"",_xlfn.MINIFS(funnel_events_sample!$C$2:$C$543,funnel_events_sample!$A$2:$A$543,$A79,funnel_events_sample!$B$2:$B$543,"purchase_completed"))</f>
        <v/>
      </c>
      <c r="G79" s="11">
        <f t="shared" si="4"/>
        <v>2.9166666667151731E-2</v>
      </c>
      <c r="H79" s="11" t="str">
        <f t="shared" si="5"/>
        <v/>
      </c>
      <c r="I79" s="11" t="str">
        <f t="shared" si="6"/>
        <v/>
      </c>
      <c r="J79" s="11" t="str">
        <f t="shared" si="7"/>
        <v/>
      </c>
    </row>
    <row r="80" spans="1:10">
      <c r="A80" s="3" t="s">
        <v>68</v>
      </c>
      <c r="B80" s="9">
        <f>IF(COUNTIFS(funnel_events_sample!$A$2:$A$543,$A80,funnel_events_sample!$B$2:$B$543,"visited_site")=0,"",_xlfn.MINIFS(funnel_events_sample!$C$2:$C$543,funnel_events_sample!$A$2:$A$543,$A80,funnel_events_sample!$B$2:$B$543,"visited_site"))</f>
        <v>46223.147916666669</v>
      </c>
      <c r="C80" s="9">
        <f>IF(COUNTIFS(funnel_events_sample!$A$2:$A$543,$A80,funnel_events_sample!$B$2:$B$543,"signup_started")=0,"",_xlfn.MINIFS(funnel_events_sample!$C$2:$C$543,funnel_events_sample!$A$2:$A$543,$A80,funnel_events_sample!$B$2:$B$543,"signup_started"))</f>
        <v>46223.173611111109</v>
      </c>
      <c r="D80" s="9" t="str">
        <f>IF(COUNTIFS(funnel_events_sample!$A$2:$A$543,$A80,funnel_events_sample!$B$2:$B$543,"details_filled")=0,"",_xlfn.MINIFS(funnel_events_sample!$C$2:$C$543,funnel_events_sample!$A$2:$A$543,$A80,funnel_events_sample!$B$2:$B$543,"details_filled"))</f>
        <v/>
      </c>
      <c r="E80" s="9">
        <f>IF(COUNTIFS(funnel_events_sample!$A$2:$A$543,$A80,funnel_events_sample!$B$2:$B$543,"email_verified")=0,"",_xlfn.MINIFS(funnel_events_sample!$C$2:$C$543,funnel_events_sample!$A$2:$A$543,$A80,funnel_events_sample!$B$2:$B$543,"email_verified"))</f>
        <v>46223.18472222222</v>
      </c>
      <c r="F80" s="9" t="str">
        <f>IF(COUNTIFS(funnel_events_sample!$A$2:$A$543,$A80,funnel_events_sample!$B$2:$B$543,"purchase_completed")=0,"",_xlfn.MINIFS(funnel_events_sample!$C$2:$C$543,funnel_events_sample!$A$2:$A$543,$A80,funnel_events_sample!$B$2:$B$543,"purchase_completed"))</f>
        <v/>
      </c>
      <c r="G80" s="11">
        <f t="shared" si="4"/>
        <v>2.569444444088731E-2</v>
      </c>
      <c r="H80" s="11" t="str">
        <f t="shared" si="5"/>
        <v/>
      </c>
      <c r="I80" s="11" t="str">
        <f t="shared" si="6"/>
        <v/>
      </c>
      <c r="J80" s="11" t="str">
        <f t="shared" si="7"/>
        <v/>
      </c>
    </row>
    <row r="81" spans="1:10">
      <c r="A81" s="3" t="s">
        <v>120</v>
      </c>
      <c r="B81" s="9">
        <f>IF(COUNTIFS(funnel_events_sample!$A$2:$A$543,$A81,funnel_events_sample!$B$2:$B$543,"visited_site")=0,"",_xlfn.MINIFS(funnel_events_sample!$C$2:$C$543,funnel_events_sample!$A$2:$A$543,$A81,funnel_events_sample!$B$2:$B$543,"visited_site"))</f>
        <v>46223.161805555559</v>
      </c>
      <c r="C81" s="9">
        <f>IF(COUNTIFS(funnel_events_sample!$A$2:$A$543,$A81,funnel_events_sample!$B$2:$B$543,"signup_started")=0,"",_xlfn.MINIFS(funnel_events_sample!$C$2:$C$543,funnel_events_sample!$A$2:$A$543,$A81,funnel_events_sample!$B$2:$B$543,"signup_started"))</f>
        <v>46223.158333333333</v>
      </c>
      <c r="D81" s="9" t="str">
        <f>IF(COUNTIFS(funnel_events_sample!$A$2:$A$543,$A81,funnel_events_sample!$B$2:$B$543,"details_filled")=0,"",_xlfn.MINIFS(funnel_events_sample!$C$2:$C$543,funnel_events_sample!$A$2:$A$543,$A81,funnel_events_sample!$B$2:$B$543,"details_filled"))</f>
        <v/>
      </c>
      <c r="E81" s="9">
        <f>IF(COUNTIFS(funnel_events_sample!$A$2:$A$543,$A81,funnel_events_sample!$B$2:$B$543,"email_verified")=0,"",_xlfn.MINIFS(funnel_events_sample!$C$2:$C$543,funnel_events_sample!$A$2:$A$543,$A81,funnel_events_sample!$B$2:$B$543,"email_verified"))</f>
        <v>46223.188194444447</v>
      </c>
      <c r="F81" s="9" t="str">
        <f>IF(COUNTIFS(funnel_events_sample!$A$2:$A$543,$A81,funnel_events_sample!$B$2:$B$543,"purchase_completed")=0,"",_xlfn.MINIFS(funnel_events_sample!$C$2:$C$543,funnel_events_sample!$A$2:$A$543,$A81,funnel_events_sample!$B$2:$B$543,"purchase_completed"))</f>
        <v/>
      </c>
      <c r="G81" s="11" t="str">
        <f t="shared" si="4"/>
        <v/>
      </c>
      <c r="H81" s="11" t="str">
        <f t="shared" si="5"/>
        <v/>
      </c>
      <c r="I81" s="11" t="str">
        <f t="shared" si="6"/>
        <v/>
      </c>
      <c r="J81" s="11" t="str">
        <f t="shared" si="7"/>
        <v/>
      </c>
    </row>
    <row r="82" spans="1:10">
      <c r="A82" s="3" t="s">
        <v>136</v>
      </c>
      <c r="B82" s="9">
        <f>IF(COUNTIFS(funnel_events_sample!$A$2:$A$543,$A82,funnel_events_sample!$B$2:$B$543,"visited_site")=0,"",_xlfn.MINIFS(funnel_events_sample!$C$2:$C$543,funnel_events_sample!$A$2:$A$543,$A82,funnel_events_sample!$B$2:$B$543,"visited_site"))</f>
        <v>46223.146527777775</v>
      </c>
      <c r="C82" s="9">
        <f>IF(COUNTIFS(funnel_events_sample!$A$2:$A$543,$A82,funnel_events_sample!$B$2:$B$543,"signup_started")=0,"",_xlfn.MINIFS(funnel_events_sample!$C$2:$C$543,funnel_events_sample!$A$2:$A$543,$A82,funnel_events_sample!$B$2:$B$543,"signup_started"))</f>
        <v>46223.178472222222</v>
      </c>
      <c r="D82" s="9" t="str">
        <f>IF(COUNTIFS(funnel_events_sample!$A$2:$A$543,$A82,funnel_events_sample!$B$2:$B$543,"details_filled")=0,"",_xlfn.MINIFS(funnel_events_sample!$C$2:$C$543,funnel_events_sample!$A$2:$A$543,$A82,funnel_events_sample!$B$2:$B$543,"details_filled"))</f>
        <v/>
      </c>
      <c r="E82" s="9">
        <f>IF(COUNTIFS(funnel_events_sample!$A$2:$A$543,$A82,funnel_events_sample!$B$2:$B$543,"email_verified")=0,"",_xlfn.MINIFS(funnel_events_sample!$C$2:$C$543,funnel_events_sample!$A$2:$A$543,$A82,funnel_events_sample!$B$2:$B$543,"email_verified"))</f>
        <v>46223.20208333333</v>
      </c>
      <c r="F82" s="9" t="str">
        <f>IF(COUNTIFS(funnel_events_sample!$A$2:$A$543,$A82,funnel_events_sample!$B$2:$B$543,"purchase_completed")=0,"",_xlfn.MINIFS(funnel_events_sample!$C$2:$C$543,funnel_events_sample!$A$2:$A$543,$A82,funnel_events_sample!$B$2:$B$543,"purchase_completed"))</f>
        <v/>
      </c>
      <c r="G82" s="11">
        <f t="shared" si="4"/>
        <v>3.1944444446708076E-2</v>
      </c>
      <c r="H82" s="11" t="str">
        <f t="shared" si="5"/>
        <v/>
      </c>
      <c r="I82" s="11" t="str">
        <f t="shared" si="6"/>
        <v/>
      </c>
      <c r="J82" s="11" t="str">
        <f t="shared" si="7"/>
        <v/>
      </c>
    </row>
    <row r="83" spans="1:10">
      <c r="A83" s="3" t="s">
        <v>141</v>
      </c>
      <c r="B83" s="9">
        <f>IF(COUNTIFS(funnel_events_sample!$A$2:$A$543,$A83,funnel_events_sample!$B$2:$B$543,"visited_site")=0,"",_xlfn.MINIFS(funnel_events_sample!$C$2:$C$543,funnel_events_sample!$A$2:$A$543,$A83,funnel_events_sample!$B$2:$B$543,"visited_site"))</f>
        <v>46223.148611111108</v>
      </c>
      <c r="C83" s="9">
        <f>IF(COUNTIFS(funnel_events_sample!$A$2:$A$543,$A83,funnel_events_sample!$B$2:$B$543,"signup_started")=0,"",_xlfn.MINIFS(funnel_events_sample!$C$2:$C$543,funnel_events_sample!$A$2:$A$543,$A83,funnel_events_sample!$B$2:$B$543,"signup_started"))</f>
        <v>46223.17291666667</v>
      </c>
      <c r="D83" s="9" t="str">
        <f>IF(COUNTIFS(funnel_events_sample!$A$2:$A$543,$A83,funnel_events_sample!$B$2:$B$543,"details_filled")=0,"",_xlfn.MINIFS(funnel_events_sample!$C$2:$C$543,funnel_events_sample!$A$2:$A$543,$A83,funnel_events_sample!$B$2:$B$543,"details_filled"))</f>
        <v/>
      </c>
      <c r="E83" s="9">
        <f>IF(COUNTIFS(funnel_events_sample!$A$2:$A$543,$A83,funnel_events_sample!$B$2:$B$543,"email_verified")=0,"",_xlfn.MINIFS(funnel_events_sample!$C$2:$C$543,funnel_events_sample!$A$2:$A$543,$A83,funnel_events_sample!$B$2:$B$543,"email_verified"))</f>
        <v>46223.18472222222</v>
      </c>
      <c r="F83" s="9" t="str">
        <f>IF(COUNTIFS(funnel_events_sample!$A$2:$A$543,$A83,funnel_events_sample!$B$2:$B$543,"purchase_completed")=0,"",_xlfn.MINIFS(funnel_events_sample!$C$2:$C$543,funnel_events_sample!$A$2:$A$543,$A83,funnel_events_sample!$B$2:$B$543,"purchase_completed"))</f>
        <v/>
      </c>
      <c r="G83" s="11">
        <f t="shared" si="4"/>
        <v>2.4305555562023073E-2</v>
      </c>
      <c r="H83" s="11" t="str">
        <f t="shared" si="5"/>
        <v/>
      </c>
      <c r="I83" s="11" t="str">
        <f t="shared" si="6"/>
        <v/>
      </c>
      <c r="J83" s="11" t="str">
        <f t="shared" si="7"/>
        <v/>
      </c>
    </row>
    <row r="84" spans="1:10">
      <c r="A84" s="3" t="s">
        <v>184</v>
      </c>
      <c r="B84" s="9">
        <f>IF(COUNTIFS(funnel_events_sample!$A$2:$A$543,$A84,funnel_events_sample!$B$2:$B$543,"visited_site")=0,"",_xlfn.MINIFS(funnel_events_sample!$C$2:$C$543,funnel_events_sample!$A$2:$A$543,$A84,funnel_events_sample!$B$2:$B$543,"visited_site"))</f>
        <v>46223.154861111114</v>
      </c>
      <c r="C84" s="9">
        <f>IF(COUNTIFS(funnel_events_sample!$A$2:$A$543,$A84,funnel_events_sample!$B$2:$B$543,"signup_started")=0,"",_xlfn.MINIFS(funnel_events_sample!$C$2:$C$543,funnel_events_sample!$A$2:$A$543,$A84,funnel_events_sample!$B$2:$B$543,"signup_started"))</f>
        <v>46223.156944444447</v>
      </c>
      <c r="D84" s="9" t="str">
        <f>IF(COUNTIFS(funnel_events_sample!$A$2:$A$543,$A84,funnel_events_sample!$B$2:$B$543,"details_filled")=0,"",_xlfn.MINIFS(funnel_events_sample!$C$2:$C$543,funnel_events_sample!$A$2:$A$543,$A84,funnel_events_sample!$B$2:$B$543,"details_filled"))</f>
        <v/>
      </c>
      <c r="E84" s="9">
        <f>IF(COUNTIFS(funnel_events_sample!$A$2:$A$543,$A84,funnel_events_sample!$B$2:$B$543,"email_verified")=0,"",_xlfn.MINIFS(funnel_events_sample!$C$2:$C$543,funnel_events_sample!$A$2:$A$543,$A84,funnel_events_sample!$B$2:$B$543,"email_verified"))</f>
        <v>46223.202777777777</v>
      </c>
      <c r="F84" s="9" t="str">
        <f>IF(COUNTIFS(funnel_events_sample!$A$2:$A$543,$A84,funnel_events_sample!$B$2:$B$543,"purchase_completed")=0,"",_xlfn.MINIFS(funnel_events_sample!$C$2:$C$543,funnel_events_sample!$A$2:$A$543,$A84,funnel_events_sample!$B$2:$B$543,"purchase_completed"))</f>
        <v/>
      </c>
      <c r="G84" s="11">
        <f t="shared" si="4"/>
        <v>2.0833333328482695E-3</v>
      </c>
      <c r="H84" s="11" t="str">
        <f t="shared" si="5"/>
        <v/>
      </c>
      <c r="I84" s="11" t="str">
        <f t="shared" si="6"/>
        <v/>
      </c>
      <c r="J84" s="11" t="str">
        <f t="shared" si="7"/>
        <v/>
      </c>
    </row>
    <row r="85" spans="1:10">
      <c r="A85" s="3" t="s">
        <v>182</v>
      </c>
      <c r="B85" s="9">
        <f>IF(COUNTIFS(funnel_events_sample!$A$2:$A$543,$A85,funnel_events_sample!$B$2:$B$543,"visited_site")=0,"",_xlfn.MINIFS(funnel_events_sample!$C$2:$C$543,funnel_events_sample!$A$2:$A$543,$A85,funnel_events_sample!$B$2:$B$543,"visited_site"))</f>
        <v>46223.171527777777</v>
      </c>
      <c r="C85" s="9">
        <f>IF(COUNTIFS(funnel_events_sample!$A$2:$A$543,$A85,funnel_events_sample!$B$2:$B$543,"signup_started")=0,"",_xlfn.MINIFS(funnel_events_sample!$C$2:$C$543,funnel_events_sample!$A$2:$A$543,$A85,funnel_events_sample!$B$2:$B$543,"signup_started"))</f>
        <v>46223.164583333331</v>
      </c>
      <c r="D85" s="9" t="str">
        <f>IF(COUNTIFS(funnel_events_sample!$A$2:$A$543,$A85,funnel_events_sample!$B$2:$B$543,"details_filled")=0,"",_xlfn.MINIFS(funnel_events_sample!$C$2:$C$543,funnel_events_sample!$A$2:$A$543,$A85,funnel_events_sample!$B$2:$B$543,"details_filled"))</f>
        <v/>
      </c>
      <c r="E85" s="9">
        <f>IF(COUNTIFS(funnel_events_sample!$A$2:$A$543,$A85,funnel_events_sample!$B$2:$B$543,"email_verified")=0,"",_xlfn.MINIFS(funnel_events_sample!$C$2:$C$543,funnel_events_sample!$A$2:$A$543,$A85,funnel_events_sample!$B$2:$B$543,"email_verified"))</f>
        <v>46223.177777777775</v>
      </c>
      <c r="F85" s="9" t="str">
        <f>IF(COUNTIFS(funnel_events_sample!$A$2:$A$543,$A85,funnel_events_sample!$B$2:$B$543,"purchase_completed")=0,"",_xlfn.MINIFS(funnel_events_sample!$C$2:$C$543,funnel_events_sample!$A$2:$A$543,$A85,funnel_events_sample!$B$2:$B$543,"purchase_completed"))</f>
        <v/>
      </c>
      <c r="G85" s="11" t="str">
        <f t="shared" si="4"/>
        <v/>
      </c>
      <c r="H85" s="11" t="str">
        <f t="shared" si="5"/>
        <v/>
      </c>
      <c r="I85" s="11" t="str">
        <f t="shared" si="6"/>
        <v/>
      </c>
      <c r="J85" s="11" t="str">
        <f t="shared" si="7"/>
        <v/>
      </c>
    </row>
    <row r="86" spans="1:10">
      <c r="A86" s="3" t="s">
        <v>131</v>
      </c>
      <c r="B86" s="9">
        <f>IF(COUNTIFS(funnel_events_sample!$A$2:$A$543,$A86,funnel_events_sample!$B$2:$B$543,"visited_site")=0,"",_xlfn.MINIFS(funnel_events_sample!$C$2:$C$543,funnel_events_sample!$A$2:$A$543,$A86,funnel_events_sample!$B$2:$B$543,"visited_site"))</f>
        <v>46223.164583333331</v>
      </c>
      <c r="C86" s="9">
        <f>IF(COUNTIFS(funnel_events_sample!$A$2:$A$543,$A86,funnel_events_sample!$B$2:$B$543,"signup_started")=0,"",_xlfn.MINIFS(funnel_events_sample!$C$2:$C$543,funnel_events_sample!$A$2:$A$543,$A86,funnel_events_sample!$B$2:$B$543,"signup_started"))</f>
        <v>46223.182638888888</v>
      </c>
      <c r="D86" s="9" t="str">
        <f>IF(COUNTIFS(funnel_events_sample!$A$2:$A$543,$A86,funnel_events_sample!$B$2:$B$543,"details_filled")=0,"",_xlfn.MINIFS(funnel_events_sample!$C$2:$C$543,funnel_events_sample!$A$2:$A$543,$A86,funnel_events_sample!$B$2:$B$543,"details_filled"))</f>
        <v/>
      </c>
      <c r="E86" s="9">
        <f>IF(COUNTIFS(funnel_events_sample!$A$2:$A$543,$A86,funnel_events_sample!$B$2:$B$543,"email_verified")=0,"",_xlfn.MINIFS(funnel_events_sample!$C$2:$C$543,funnel_events_sample!$A$2:$A$543,$A86,funnel_events_sample!$B$2:$B$543,"email_verified"))</f>
        <v>46223.177777777775</v>
      </c>
      <c r="F86" s="9" t="str">
        <f>IF(COUNTIFS(funnel_events_sample!$A$2:$A$543,$A86,funnel_events_sample!$B$2:$B$543,"purchase_completed")=0,"",_xlfn.MINIFS(funnel_events_sample!$C$2:$C$543,funnel_events_sample!$A$2:$A$543,$A86,funnel_events_sample!$B$2:$B$543,"purchase_completed"))</f>
        <v/>
      </c>
      <c r="G86" s="11">
        <f t="shared" si="4"/>
        <v>1.8055555556202307E-2</v>
      </c>
      <c r="H86" s="11" t="str">
        <f t="shared" si="5"/>
        <v/>
      </c>
      <c r="I86" s="11" t="str">
        <f t="shared" si="6"/>
        <v/>
      </c>
      <c r="J86" s="11" t="str">
        <f t="shared" si="7"/>
        <v/>
      </c>
    </row>
    <row r="87" spans="1:10">
      <c r="A87" s="3" t="s">
        <v>134</v>
      </c>
      <c r="B87" s="9">
        <f>IF(COUNTIFS(funnel_events_sample!$A$2:$A$543,$A87,funnel_events_sample!$B$2:$B$543,"visited_site")=0,"",_xlfn.MINIFS(funnel_events_sample!$C$2:$C$543,funnel_events_sample!$A$2:$A$543,$A87,funnel_events_sample!$B$2:$B$543,"visited_site"))</f>
        <v>46223.168055555558</v>
      </c>
      <c r="C87" s="9">
        <f>IF(COUNTIFS(funnel_events_sample!$A$2:$A$543,$A87,funnel_events_sample!$B$2:$B$543,"signup_started")=0,"",_xlfn.MINIFS(funnel_events_sample!$C$2:$C$543,funnel_events_sample!$A$2:$A$543,$A87,funnel_events_sample!$B$2:$B$543,"signup_started"))</f>
        <v>46223.162499999999</v>
      </c>
      <c r="D87" s="9" t="str">
        <f>IF(COUNTIFS(funnel_events_sample!$A$2:$A$543,$A87,funnel_events_sample!$B$2:$B$543,"details_filled")=0,"",_xlfn.MINIFS(funnel_events_sample!$C$2:$C$543,funnel_events_sample!$A$2:$A$543,$A87,funnel_events_sample!$B$2:$B$543,"details_filled"))</f>
        <v/>
      </c>
      <c r="E87" s="9">
        <f>IF(COUNTIFS(funnel_events_sample!$A$2:$A$543,$A87,funnel_events_sample!$B$2:$B$543,"email_verified")=0,"",_xlfn.MINIFS(funnel_events_sample!$C$2:$C$543,funnel_events_sample!$A$2:$A$543,$A87,funnel_events_sample!$B$2:$B$543,"email_verified"))</f>
        <v>46223.184027777781</v>
      </c>
      <c r="F87" s="9" t="str">
        <f>IF(COUNTIFS(funnel_events_sample!$A$2:$A$543,$A87,funnel_events_sample!$B$2:$B$543,"purchase_completed")=0,"",_xlfn.MINIFS(funnel_events_sample!$C$2:$C$543,funnel_events_sample!$A$2:$A$543,$A87,funnel_events_sample!$B$2:$B$543,"purchase_completed"))</f>
        <v/>
      </c>
      <c r="G87" s="11" t="str">
        <f t="shared" si="4"/>
        <v/>
      </c>
      <c r="H87" s="11" t="str">
        <f t="shared" si="5"/>
        <v/>
      </c>
      <c r="I87" s="11" t="str">
        <f t="shared" si="6"/>
        <v/>
      </c>
      <c r="J87" s="11" t="str">
        <f t="shared" si="7"/>
        <v/>
      </c>
    </row>
    <row r="88" spans="1:10">
      <c r="A88" s="3" t="s">
        <v>149</v>
      </c>
      <c r="B88" s="9">
        <f>IF(COUNTIFS(funnel_events_sample!$A$2:$A$543,$A88,funnel_events_sample!$B$2:$B$543,"visited_site")=0,"",_xlfn.MINIFS(funnel_events_sample!$C$2:$C$543,funnel_events_sample!$A$2:$A$543,$A88,funnel_events_sample!$B$2:$B$543,"visited_site"))</f>
        <v>46223.146527777775</v>
      </c>
      <c r="C88" s="9">
        <f>IF(COUNTIFS(funnel_events_sample!$A$2:$A$543,$A88,funnel_events_sample!$B$2:$B$543,"signup_started")=0,"",_xlfn.MINIFS(funnel_events_sample!$C$2:$C$543,funnel_events_sample!$A$2:$A$543,$A88,funnel_events_sample!$B$2:$B$543,"signup_started"))</f>
        <v>46223.179861111108</v>
      </c>
      <c r="D88" s="9" t="str">
        <f>IF(COUNTIFS(funnel_events_sample!$A$2:$A$543,$A88,funnel_events_sample!$B$2:$B$543,"details_filled")=0,"",_xlfn.MINIFS(funnel_events_sample!$C$2:$C$543,funnel_events_sample!$A$2:$A$543,$A88,funnel_events_sample!$B$2:$B$543,"details_filled"))</f>
        <v/>
      </c>
      <c r="E88" s="9">
        <f>IF(COUNTIFS(funnel_events_sample!$A$2:$A$543,$A88,funnel_events_sample!$B$2:$B$543,"email_verified")=0,"",_xlfn.MINIFS(funnel_events_sample!$C$2:$C$543,funnel_events_sample!$A$2:$A$543,$A88,funnel_events_sample!$B$2:$B$543,"email_verified"))</f>
        <v>46223.177777777775</v>
      </c>
      <c r="F88" s="9" t="str">
        <f>IF(COUNTIFS(funnel_events_sample!$A$2:$A$543,$A88,funnel_events_sample!$B$2:$B$543,"purchase_completed")=0,"",_xlfn.MINIFS(funnel_events_sample!$C$2:$C$543,funnel_events_sample!$A$2:$A$543,$A88,funnel_events_sample!$B$2:$B$543,"purchase_completed"))</f>
        <v/>
      </c>
      <c r="G88" s="11">
        <f t="shared" si="4"/>
        <v>3.3333333332848269E-2</v>
      </c>
      <c r="H88" s="11" t="str">
        <f t="shared" si="5"/>
        <v/>
      </c>
      <c r="I88" s="11" t="str">
        <f t="shared" si="6"/>
        <v/>
      </c>
      <c r="J88" s="11" t="str">
        <f t="shared" si="7"/>
        <v/>
      </c>
    </row>
    <row r="89" spans="1:10">
      <c r="A89" s="3" t="s">
        <v>42</v>
      </c>
      <c r="B89" s="9">
        <f>IF(COUNTIFS(funnel_events_sample!$A$2:$A$543,$A89,funnel_events_sample!$B$2:$B$543,"visited_site")=0,"",_xlfn.MINIFS(funnel_events_sample!$C$2:$C$543,funnel_events_sample!$A$2:$A$543,$A89,funnel_events_sample!$B$2:$B$543,"visited_site"))</f>
        <v>46223.147222222222</v>
      </c>
      <c r="C89" s="9">
        <f>IF(COUNTIFS(funnel_events_sample!$A$2:$A$543,$A89,funnel_events_sample!$B$2:$B$543,"signup_started")=0,"",_xlfn.MINIFS(funnel_events_sample!$C$2:$C$543,funnel_events_sample!$A$2:$A$543,$A89,funnel_events_sample!$B$2:$B$543,"signup_started"))</f>
        <v>46223.180555555555</v>
      </c>
      <c r="D89" s="9" t="str">
        <f>IF(COUNTIFS(funnel_events_sample!$A$2:$A$543,$A89,funnel_events_sample!$B$2:$B$543,"details_filled")=0,"",_xlfn.MINIFS(funnel_events_sample!$C$2:$C$543,funnel_events_sample!$A$2:$A$543,$A89,funnel_events_sample!$B$2:$B$543,"details_filled"))</f>
        <v/>
      </c>
      <c r="E89" s="9">
        <f>IF(COUNTIFS(funnel_events_sample!$A$2:$A$543,$A89,funnel_events_sample!$B$2:$B$543,"email_verified")=0,"",_xlfn.MINIFS(funnel_events_sample!$C$2:$C$543,funnel_events_sample!$A$2:$A$543,$A89,funnel_events_sample!$B$2:$B$543,"email_verified"))</f>
        <v>46223.198611111111</v>
      </c>
      <c r="F89" s="9" t="str">
        <f>IF(COUNTIFS(funnel_events_sample!$A$2:$A$543,$A89,funnel_events_sample!$B$2:$B$543,"purchase_completed")=0,"",_xlfn.MINIFS(funnel_events_sample!$C$2:$C$543,funnel_events_sample!$A$2:$A$543,$A89,funnel_events_sample!$B$2:$B$543,"purchase_completed"))</f>
        <v/>
      </c>
      <c r="G89" s="11">
        <f t="shared" si="4"/>
        <v>3.3333333332848269E-2</v>
      </c>
      <c r="H89" s="11" t="str">
        <f t="shared" si="5"/>
        <v/>
      </c>
      <c r="I89" s="11" t="str">
        <f t="shared" si="6"/>
        <v/>
      </c>
      <c r="J89" s="11" t="str">
        <f t="shared" si="7"/>
        <v/>
      </c>
    </row>
    <row r="90" spans="1:10">
      <c r="A90" s="3" t="s">
        <v>153</v>
      </c>
      <c r="B90" s="9">
        <f>IF(COUNTIFS(funnel_events_sample!$A$2:$A$543,$A90,funnel_events_sample!$B$2:$B$543,"visited_site")=0,"",_xlfn.MINIFS(funnel_events_sample!$C$2:$C$543,funnel_events_sample!$A$2:$A$543,$A90,funnel_events_sample!$B$2:$B$543,"visited_site"))</f>
        <v>46223.149305555555</v>
      </c>
      <c r="C90" s="9">
        <f>IF(COUNTIFS(funnel_events_sample!$A$2:$A$543,$A90,funnel_events_sample!$B$2:$B$543,"signup_started")=0,"",_xlfn.MINIFS(funnel_events_sample!$C$2:$C$543,funnel_events_sample!$A$2:$A$543,$A90,funnel_events_sample!$B$2:$B$543,"signup_started"))</f>
        <v>46223.169444444444</v>
      </c>
      <c r="D90" s="9" t="str">
        <f>IF(COUNTIFS(funnel_events_sample!$A$2:$A$543,$A90,funnel_events_sample!$B$2:$B$543,"details_filled")=0,"",_xlfn.MINIFS(funnel_events_sample!$C$2:$C$543,funnel_events_sample!$A$2:$A$543,$A90,funnel_events_sample!$B$2:$B$543,"details_filled"))</f>
        <v/>
      </c>
      <c r="E90" s="9">
        <f>IF(COUNTIFS(funnel_events_sample!$A$2:$A$543,$A90,funnel_events_sample!$B$2:$B$543,"email_verified")=0,"",_xlfn.MINIFS(funnel_events_sample!$C$2:$C$543,funnel_events_sample!$A$2:$A$543,$A90,funnel_events_sample!$B$2:$B$543,"email_verified"))</f>
        <v>46223.182638888888</v>
      </c>
      <c r="F90" s="9" t="str">
        <f>IF(COUNTIFS(funnel_events_sample!$A$2:$A$543,$A90,funnel_events_sample!$B$2:$B$543,"purchase_completed")=0,"",_xlfn.MINIFS(funnel_events_sample!$C$2:$C$543,funnel_events_sample!$A$2:$A$543,$A90,funnel_events_sample!$B$2:$B$543,"purchase_completed"))</f>
        <v/>
      </c>
      <c r="G90" s="11">
        <f t="shared" si="4"/>
        <v>2.0138888889050577E-2</v>
      </c>
      <c r="H90" s="11" t="str">
        <f t="shared" si="5"/>
        <v/>
      </c>
      <c r="I90" s="11" t="str">
        <f t="shared" si="6"/>
        <v/>
      </c>
      <c r="J90" s="11" t="str">
        <f t="shared" si="7"/>
        <v/>
      </c>
    </row>
    <row r="91" spans="1:10">
      <c r="A91" s="3" t="s">
        <v>48</v>
      </c>
      <c r="B91" s="9">
        <f>IF(COUNTIFS(funnel_events_sample!$A$2:$A$543,$A91,funnel_events_sample!$B$2:$B$543,"visited_site")=0,"",_xlfn.MINIFS(funnel_events_sample!$C$2:$C$543,funnel_events_sample!$A$2:$A$543,$A91,funnel_events_sample!$B$2:$B$543,"visited_site"))</f>
        <v>46223.163194444445</v>
      </c>
      <c r="C91" s="9">
        <f>IF(COUNTIFS(funnel_events_sample!$A$2:$A$543,$A91,funnel_events_sample!$B$2:$B$543,"signup_started")=0,"",_xlfn.MINIFS(funnel_events_sample!$C$2:$C$543,funnel_events_sample!$A$2:$A$543,$A91,funnel_events_sample!$B$2:$B$543,"signup_started"))</f>
        <v>46223.182638888888</v>
      </c>
      <c r="D91" s="9" t="str">
        <f>IF(COUNTIFS(funnel_events_sample!$A$2:$A$543,$A91,funnel_events_sample!$B$2:$B$543,"details_filled")=0,"",_xlfn.MINIFS(funnel_events_sample!$C$2:$C$543,funnel_events_sample!$A$2:$A$543,$A91,funnel_events_sample!$B$2:$B$543,"details_filled"))</f>
        <v/>
      </c>
      <c r="E91" s="9">
        <f>IF(COUNTIFS(funnel_events_sample!$A$2:$A$543,$A91,funnel_events_sample!$B$2:$B$543,"email_verified")=0,"",_xlfn.MINIFS(funnel_events_sample!$C$2:$C$543,funnel_events_sample!$A$2:$A$543,$A91,funnel_events_sample!$B$2:$B$543,"email_verified"))</f>
        <v>46223.20416666667</v>
      </c>
      <c r="F91" s="9" t="str">
        <f>IF(COUNTIFS(funnel_events_sample!$A$2:$A$543,$A91,funnel_events_sample!$B$2:$B$543,"purchase_completed")=0,"",_xlfn.MINIFS(funnel_events_sample!$C$2:$C$543,funnel_events_sample!$A$2:$A$543,$A91,funnel_events_sample!$B$2:$B$543,"purchase_completed"))</f>
        <v/>
      </c>
      <c r="G91" s="11">
        <f t="shared" si="4"/>
        <v>1.9444444442342501E-2</v>
      </c>
      <c r="H91" s="11" t="str">
        <f t="shared" si="5"/>
        <v/>
      </c>
      <c r="I91" s="11" t="str">
        <f t="shared" si="6"/>
        <v/>
      </c>
      <c r="J91" s="11" t="str">
        <f t="shared" si="7"/>
        <v/>
      </c>
    </row>
    <row r="92" spans="1:10">
      <c r="A92" s="3" t="s">
        <v>132</v>
      </c>
      <c r="B92" s="9">
        <f>IF(COUNTIFS(funnel_events_sample!$A$2:$A$543,$A92,funnel_events_sample!$B$2:$B$543,"visited_site")=0,"",_xlfn.MINIFS(funnel_events_sample!$C$2:$C$543,funnel_events_sample!$A$2:$A$543,$A92,funnel_events_sample!$B$2:$B$543,"visited_site"))</f>
        <v>46223.15625</v>
      </c>
      <c r="C92" s="9">
        <f>IF(COUNTIFS(funnel_events_sample!$A$2:$A$543,$A92,funnel_events_sample!$B$2:$B$543,"signup_started")=0,"",_xlfn.MINIFS(funnel_events_sample!$C$2:$C$543,funnel_events_sample!$A$2:$A$543,$A92,funnel_events_sample!$B$2:$B$543,"signup_started"))</f>
        <v>46223.164583333331</v>
      </c>
      <c r="D92" s="9" t="str">
        <f>IF(COUNTIFS(funnel_events_sample!$A$2:$A$543,$A92,funnel_events_sample!$B$2:$B$543,"details_filled")=0,"",_xlfn.MINIFS(funnel_events_sample!$C$2:$C$543,funnel_events_sample!$A$2:$A$543,$A92,funnel_events_sample!$B$2:$B$543,"details_filled"))</f>
        <v/>
      </c>
      <c r="E92" s="9">
        <f>IF(COUNTIFS(funnel_events_sample!$A$2:$A$543,$A92,funnel_events_sample!$B$2:$B$543,"email_verified")=0,"",_xlfn.MINIFS(funnel_events_sample!$C$2:$C$543,funnel_events_sample!$A$2:$A$543,$A92,funnel_events_sample!$B$2:$B$543,"email_verified"))</f>
        <v>46223.199999999997</v>
      </c>
      <c r="F92" s="9" t="str">
        <f>IF(COUNTIFS(funnel_events_sample!$A$2:$A$543,$A92,funnel_events_sample!$B$2:$B$543,"purchase_completed")=0,"",_xlfn.MINIFS(funnel_events_sample!$C$2:$C$543,funnel_events_sample!$A$2:$A$543,$A92,funnel_events_sample!$B$2:$B$543,"purchase_completed"))</f>
        <v/>
      </c>
      <c r="G92" s="11">
        <f t="shared" si="4"/>
        <v>8.333333331393078E-3</v>
      </c>
      <c r="H92" s="11" t="str">
        <f t="shared" si="5"/>
        <v/>
      </c>
      <c r="I92" s="11" t="str">
        <f t="shared" si="6"/>
        <v/>
      </c>
      <c r="J92" s="11" t="str">
        <f t="shared" si="7"/>
        <v/>
      </c>
    </row>
    <row r="93" spans="1:10">
      <c r="A93" s="3" t="s">
        <v>38</v>
      </c>
      <c r="B93" s="9">
        <f>IF(COUNTIFS(funnel_events_sample!$A$2:$A$543,$A93,funnel_events_sample!$B$2:$B$543,"visited_site")=0,"",_xlfn.MINIFS(funnel_events_sample!$C$2:$C$543,funnel_events_sample!$A$2:$A$543,$A93,funnel_events_sample!$B$2:$B$543,"visited_site"))</f>
        <v>46223.168749999997</v>
      </c>
      <c r="C93" s="9">
        <f>IF(COUNTIFS(funnel_events_sample!$A$2:$A$543,$A93,funnel_events_sample!$B$2:$B$543,"signup_started")=0,"",_xlfn.MINIFS(funnel_events_sample!$C$2:$C$543,funnel_events_sample!$A$2:$A$543,$A93,funnel_events_sample!$B$2:$B$543,"signup_started"))</f>
        <v>46223.166666666664</v>
      </c>
      <c r="D93" s="9" t="str">
        <f>IF(COUNTIFS(funnel_events_sample!$A$2:$A$543,$A93,funnel_events_sample!$B$2:$B$543,"details_filled")=0,"",_xlfn.MINIFS(funnel_events_sample!$C$2:$C$543,funnel_events_sample!$A$2:$A$543,$A93,funnel_events_sample!$B$2:$B$543,"details_filled"))</f>
        <v/>
      </c>
      <c r="E93" s="9">
        <f>IF(COUNTIFS(funnel_events_sample!$A$2:$A$543,$A93,funnel_events_sample!$B$2:$B$543,"email_verified")=0,"",_xlfn.MINIFS(funnel_events_sample!$C$2:$C$543,funnel_events_sample!$A$2:$A$543,$A93,funnel_events_sample!$B$2:$B$543,"email_verified"))</f>
        <v>46223.188888888886</v>
      </c>
      <c r="F93" s="9" t="str">
        <f>IF(COUNTIFS(funnel_events_sample!$A$2:$A$543,$A93,funnel_events_sample!$B$2:$B$543,"purchase_completed")=0,"",_xlfn.MINIFS(funnel_events_sample!$C$2:$C$543,funnel_events_sample!$A$2:$A$543,$A93,funnel_events_sample!$B$2:$B$543,"purchase_completed"))</f>
        <v/>
      </c>
      <c r="G93" s="11" t="str">
        <f t="shared" si="4"/>
        <v/>
      </c>
      <c r="H93" s="11" t="str">
        <f t="shared" si="5"/>
        <v/>
      </c>
      <c r="I93" s="11" t="str">
        <f t="shared" si="6"/>
        <v/>
      </c>
      <c r="J93" s="11" t="str">
        <f t="shared" si="7"/>
        <v/>
      </c>
    </row>
    <row r="94" spans="1:10">
      <c r="A94" s="3" t="s">
        <v>30</v>
      </c>
      <c r="B94" s="9">
        <f>IF(COUNTIFS(funnel_events_sample!$A$2:$A$543,$A94,funnel_events_sample!$B$2:$B$543,"visited_site")=0,"",_xlfn.MINIFS(funnel_events_sample!$C$2:$C$543,funnel_events_sample!$A$2:$A$543,$A94,funnel_events_sample!$B$2:$B$543,"visited_site"))</f>
        <v>46223.157638888886</v>
      </c>
      <c r="C94" s="9">
        <f>IF(COUNTIFS(funnel_events_sample!$A$2:$A$543,$A94,funnel_events_sample!$B$2:$B$543,"signup_started")=0,"",_xlfn.MINIFS(funnel_events_sample!$C$2:$C$543,funnel_events_sample!$A$2:$A$543,$A94,funnel_events_sample!$B$2:$B$543,"signup_started"))</f>
        <v>46223.180555555555</v>
      </c>
      <c r="D94" s="9" t="str">
        <f>IF(COUNTIFS(funnel_events_sample!$A$2:$A$543,$A94,funnel_events_sample!$B$2:$B$543,"details_filled")=0,"",_xlfn.MINIFS(funnel_events_sample!$C$2:$C$543,funnel_events_sample!$A$2:$A$543,$A94,funnel_events_sample!$B$2:$B$543,"details_filled"))</f>
        <v/>
      </c>
      <c r="E94" s="9">
        <f>IF(COUNTIFS(funnel_events_sample!$A$2:$A$543,$A94,funnel_events_sample!$B$2:$B$543,"email_verified")=0,"",_xlfn.MINIFS(funnel_events_sample!$C$2:$C$543,funnel_events_sample!$A$2:$A$543,$A94,funnel_events_sample!$B$2:$B$543,"email_verified"))</f>
        <v>46223.1875</v>
      </c>
      <c r="F94" s="9" t="str">
        <f>IF(COUNTIFS(funnel_events_sample!$A$2:$A$543,$A94,funnel_events_sample!$B$2:$B$543,"purchase_completed")=0,"",_xlfn.MINIFS(funnel_events_sample!$C$2:$C$543,funnel_events_sample!$A$2:$A$543,$A94,funnel_events_sample!$B$2:$B$543,"purchase_completed"))</f>
        <v/>
      </c>
      <c r="G94" s="11">
        <f t="shared" si="4"/>
        <v>2.2916666668606922E-2</v>
      </c>
      <c r="H94" s="11" t="str">
        <f t="shared" si="5"/>
        <v/>
      </c>
      <c r="I94" s="11" t="str">
        <f t="shared" si="6"/>
        <v/>
      </c>
      <c r="J94" s="11" t="str">
        <f t="shared" si="7"/>
        <v/>
      </c>
    </row>
    <row r="95" spans="1:10">
      <c r="A95" s="3" t="s">
        <v>185</v>
      </c>
      <c r="B95" s="9">
        <f>IF(COUNTIFS(funnel_events_sample!$A$2:$A$543,$A95,funnel_events_sample!$B$2:$B$543,"visited_site")=0,"",_xlfn.MINIFS(funnel_events_sample!$C$2:$C$543,funnel_events_sample!$A$2:$A$543,$A95,funnel_events_sample!$B$2:$B$543,"visited_site"))</f>
        <v>46223.165277777778</v>
      </c>
      <c r="C95" s="9">
        <f>IF(COUNTIFS(funnel_events_sample!$A$2:$A$543,$A95,funnel_events_sample!$B$2:$B$543,"signup_started")=0,"",_xlfn.MINIFS(funnel_events_sample!$C$2:$C$543,funnel_events_sample!$A$2:$A$543,$A95,funnel_events_sample!$B$2:$B$543,"signup_started"))</f>
        <v>46223.181250000001</v>
      </c>
      <c r="D95" s="9" t="str">
        <f>IF(COUNTIFS(funnel_events_sample!$A$2:$A$543,$A95,funnel_events_sample!$B$2:$B$543,"details_filled")=0,"",_xlfn.MINIFS(funnel_events_sample!$C$2:$C$543,funnel_events_sample!$A$2:$A$543,$A95,funnel_events_sample!$B$2:$B$543,"details_filled"))</f>
        <v/>
      </c>
      <c r="E95" s="9">
        <f>IF(COUNTIFS(funnel_events_sample!$A$2:$A$543,$A95,funnel_events_sample!$B$2:$B$543,"email_verified")=0,"",_xlfn.MINIFS(funnel_events_sample!$C$2:$C$543,funnel_events_sample!$A$2:$A$543,$A95,funnel_events_sample!$B$2:$B$543,"email_verified"))</f>
        <v>46223.200694444444</v>
      </c>
      <c r="F95" s="9" t="str">
        <f>IF(COUNTIFS(funnel_events_sample!$A$2:$A$543,$A95,funnel_events_sample!$B$2:$B$543,"purchase_completed")=0,"",_xlfn.MINIFS(funnel_events_sample!$C$2:$C$543,funnel_events_sample!$A$2:$A$543,$A95,funnel_events_sample!$B$2:$B$543,"purchase_completed"))</f>
        <v/>
      </c>
      <c r="G95" s="11">
        <f t="shared" si="4"/>
        <v>1.5972222223354038E-2</v>
      </c>
      <c r="H95" s="11" t="str">
        <f t="shared" si="5"/>
        <v/>
      </c>
      <c r="I95" s="11" t="str">
        <f t="shared" si="6"/>
        <v/>
      </c>
      <c r="J95" s="11" t="str">
        <f t="shared" si="7"/>
        <v/>
      </c>
    </row>
    <row r="96" spans="1:10">
      <c r="A96" s="3" t="s">
        <v>79</v>
      </c>
      <c r="B96" s="9">
        <f>IF(COUNTIFS(funnel_events_sample!$A$2:$A$543,$A96,funnel_events_sample!$B$2:$B$543,"visited_site")=0,"",_xlfn.MINIFS(funnel_events_sample!$C$2:$C$543,funnel_events_sample!$A$2:$A$543,$A96,funnel_events_sample!$B$2:$B$543,"visited_site"))</f>
        <v>46223.154861111114</v>
      </c>
      <c r="C96" s="9">
        <f>IF(COUNTIFS(funnel_events_sample!$A$2:$A$543,$A96,funnel_events_sample!$B$2:$B$543,"signup_started")=0,"",_xlfn.MINIFS(funnel_events_sample!$C$2:$C$543,funnel_events_sample!$A$2:$A$543,$A96,funnel_events_sample!$B$2:$B$543,"signup_started"))</f>
        <v>46223.162499999999</v>
      </c>
      <c r="D96" s="9" t="str">
        <f>IF(COUNTIFS(funnel_events_sample!$A$2:$A$543,$A96,funnel_events_sample!$B$2:$B$543,"details_filled")=0,"",_xlfn.MINIFS(funnel_events_sample!$C$2:$C$543,funnel_events_sample!$A$2:$A$543,$A96,funnel_events_sample!$B$2:$B$543,"details_filled"))</f>
        <v/>
      </c>
      <c r="E96" s="9">
        <f>IF(COUNTIFS(funnel_events_sample!$A$2:$A$543,$A96,funnel_events_sample!$B$2:$B$543,"email_verified")=0,"",_xlfn.MINIFS(funnel_events_sample!$C$2:$C$543,funnel_events_sample!$A$2:$A$543,$A96,funnel_events_sample!$B$2:$B$543,"email_verified"))</f>
        <v>46223.185416666667</v>
      </c>
      <c r="F96" s="9" t="str">
        <f>IF(COUNTIFS(funnel_events_sample!$A$2:$A$543,$A96,funnel_events_sample!$B$2:$B$543,"purchase_completed")=0,"",_xlfn.MINIFS(funnel_events_sample!$C$2:$C$543,funnel_events_sample!$A$2:$A$543,$A96,funnel_events_sample!$B$2:$B$543,"purchase_completed"))</f>
        <v/>
      </c>
      <c r="G96" s="11">
        <f t="shared" si="4"/>
        <v>7.6388888846850023E-3</v>
      </c>
      <c r="H96" s="11" t="str">
        <f t="shared" si="5"/>
        <v/>
      </c>
      <c r="I96" s="11" t="str">
        <f t="shared" si="6"/>
        <v/>
      </c>
      <c r="J96" s="11" t="str">
        <f t="shared" si="7"/>
        <v/>
      </c>
    </row>
    <row r="97" spans="1:10">
      <c r="A97" s="3" t="s">
        <v>164</v>
      </c>
      <c r="B97" s="9">
        <f>IF(COUNTIFS(funnel_events_sample!$A$2:$A$543,$A97,funnel_events_sample!$B$2:$B$543,"visited_site")=0,"",_xlfn.MINIFS(funnel_events_sample!$C$2:$C$543,funnel_events_sample!$A$2:$A$543,$A97,funnel_events_sample!$B$2:$B$543,"visited_site"))</f>
        <v>46223.154166666667</v>
      </c>
      <c r="C97" s="9">
        <f>IF(COUNTIFS(funnel_events_sample!$A$2:$A$543,$A97,funnel_events_sample!$B$2:$B$543,"signup_started")=0,"",_xlfn.MINIFS(funnel_events_sample!$C$2:$C$543,funnel_events_sample!$A$2:$A$543,$A97,funnel_events_sample!$B$2:$B$543,"signup_started"))</f>
        <v>46223.177777777775</v>
      </c>
      <c r="D97" s="9" t="str">
        <f>IF(COUNTIFS(funnel_events_sample!$A$2:$A$543,$A97,funnel_events_sample!$B$2:$B$543,"details_filled")=0,"",_xlfn.MINIFS(funnel_events_sample!$C$2:$C$543,funnel_events_sample!$A$2:$A$543,$A97,funnel_events_sample!$B$2:$B$543,"details_filled"))</f>
        <v/>
      </c>
      <c r="E97" s="9">
        <f>IF(COUNTIFS(funnel_events_sample!$A$2:$A$543,$A97,funnel_events_sample!$B$2:$B$543,"email_verified")=0,"",_xlfn.MINIFS(funnel_events_sample!$C$2:$C$543,funnel_events_sample!$A$2:$A$543,$A97,funnel_events_sample!$B$2:$B$543,"email_verified"))</f>
        <v>46223.19027777778</v>
      </c>
      <c r="F97" s="9" t="str">
        <f>IF(COUNTIFS(funnel_events_sample!$A$2:$A$543,$A97,funnel_events_sample!$B$2:$B$543,"purchase_completed")=0,"",_xlfn.MINIFS(funnel_events_sample!$C$2:$C$543,funnel_events_sample!$A$2:$A$543,$A97,funnel_events_sample!$B$2:$B$543,"purchase_completed"))</f>
        <v/>
      </c>
      <c r="G97" s="11">
        <f t="shared" si="4"/>
        <v>2.361111110803904E-2</v>
      </c>
      <c r="H97" s="11" t="str">
        <f t="shared" si="5"/>
        <v/>
      </c>
      <c r="I97" s="11" t="str">
        <f t="shared" si="6"/>
        <v/>
      </c>
      <c r="J97" s="11" t="str">
        <f t="shared" si="7"/>
        <v/>
      </c>
    </row>
    <row r="98" spans="1:10">
      <c r="A98" s="3" t="s">
        <v>75</v>
      </c>
      <c r="B98" s="9">
        <f>IF(COUNTIFS(funnel_events_sample!$A$2:$A$543,$A98,funnel_events_sample!$B$2:$B$543,"visited_site")=0,"",_xlfn.MINIFS(funnel_events_sample!$C$2:$C$543,funnel_events_sample!$A$2:$A$543,$A98,funnel_events_sample!$B$2:$B$543,"visited_site"))</f>
        <v>46223.168055555558</v>
      </c>
      <c r="C98" s="9">
        <f>IF(COUNTIFS(funnel_events_sample!$A$2:$A$543,$A98,funnel_events_sample!$B$2:$B$543,"signup_started")=0,"",_xlfn.MINIFS(funnel_events_sample!$C$2:$C$543,funnel_events_sample!$A$2:$A$543,$A98,funnel_events_sample!$B$2:$B$543,"signup_started"))</f>
        <v>46223.181250000001</v>
      </c>
      <c r="D98" s="9" t="str">
        <f>IF(COUNTIFS(funnel_events_sample!$A$2:$A$543,$A98,funnel_events_sample!$B$2:$B$543,"details_filled")=0,"",_xlfn.MINIFS(funnel_events_sample!$C$2:$C$543,funnel_events_sample!$A$2:$A$543,$A98,funnel_events_sample!$B$2:$B$543,"details_filled"))</f>
        <v/>
      </c>
      <c r="E98" s="9">
        <f>IF(COUNTIFS(funnel_events_sample!$A$2:$A$543,$A98,funnel_events_sample!$B$2:$B$543,"email_verified")=0,"",_xlfn.MINIFS(funnel_events_sample!$C$2:$C$543,funnel_events_sample!$A$2:$A$543,$A98,funnel_events_sample!$B$2:$B$543,"email_verified"))</f>
        <v>46223.193055555559</v>
      </c>
      <c r="F98" s="9" t="str">
        <f>IF(COUNTIFS(funnel_events_sample!$A$2:$A$543,$A98,funnel_events_sample!$B$2:$B$543,"purchase_completed")=0,"",_xlfn.MINIFS(funnel_events_sample!$C$2:$C$543,funnel_events_sample!$A$2:$A$543,$A98,funnel_events_sample!$B$2:$B$543,"purchase_completed"))</f>
        <v/>
      </c>
      <c r="G98" s="11">
        <f t="shared" si="4"/>
        <v>1.3194444443797693E-2</v>
      </c>
      <c r="H98" s="11" t="str">
        <f t="shared" si="5"/>
        <v/>
      </c>
      <c r="I98" s="11" t="str">
        <f t="shared" si="6"/>
        <v/>
      </c>
      <c r="J98" s="11" t="str">
        <f t="shared" si="7"/>
        <v/>
      </c>
    </row>
    <row r="99" spans="1:10">
      <c r="A99" s="3" t="s">
        <v>77</v>
      </c>
      <c r="B99" s="9">
        <f>IF(COUNTIFS(funnel_events_sample!$A$2:$A$543,$A99,funnel_events_sample!$B$2:$B$543,"visited_site")=0,"",_xlfn.MINIFS(funnel_events_sample!$C$2:$C$543,funnel_events_sample!$A$2:$A$543,$A99,funnel_events_sample!$B$2:$B$543,"visited_site"))</f>
        <v>46223.168749999997</v>
      </c>
      <c r="C99" s="9">
        <f>IF(COUNTIFS(funnel_events_sample!$A$2:$A$543,$A99,funnel_events_sample!$B$2:$B$543,"signup_started")=0,"",_xlfn.MINIFS(funnel_events_sample!$C$2:$C$543,funnel_events_sample!$A$2:$A$543,$A99,funnel_events_sample!$B$2:$B$543,"signup_started"))</f>
        <v>46223.179166666669</v>
      </c>
      <c r="D99" s="9" t="str">
        <f>IF(COUNTIFS(funnel_events_sample!$A$2:$A$543,$A99,funnel_events_sample!$B$2:$B$543,"details_filled")=0,"",_xlfn.MINIFS(funnel_events_sample!$C$2:$C$543,funnel_events_sample!$A$2:$A$543,$A99,funnel_events_sample!$B$2:$B$543,"details_filled"))</f>
        <v/>
      </c>
      <c r="E99" s="9">
        <f>IF(COUNTIFS(funnel_events_sample!$A$2:$A$543,$A99,funnel_events_sample!$B$2:$B$543,"email_verified")=0,"",_xlfn.MINIFS(funnel_events_sample!$C$2:$C$543,funnel_events_sample!$A$2:$A$543,$A99,funnel_events_sample!$B$2:$B$543,"email_verified"))</f>
        <v>46223.189583333333</v>
      </c>
      <c r="F99" s="9" t="str">
        <f>IF(COUNTIFS(funnel_events_sample!$A$2:$A$543,$A99,funnel_events_sample!$B$2:$B$543,"purchase_completed")=0,"",_xlfn.MINIFS(funnel_events_sample!$C$2:$C$543,funnel_events_sample!$A$2:$A$543,$A99,funnel_events_sample!$B$2:$B$543,"purchase_completed"))</f>
        <v/>
      </c>
      <c r="G99" s="11">
        <f t="shared" si="4"/>
        <v>1.0416666671517305E-2</v>
      </c>
      <c r="H99" s="11" t="str">
        <f t="shared" si="5"/>
        <v/>
      </c>
      <c r="I99" s="11" t="str">
        <f t="shared" si="6"/>
        <v/>
      </c>
      <c r="J99" s="11" t="str">
        <f t="shared" si="7"/>
        <v/>
      </c>
    </row>
    <row r="100" spans="1:10">
      <c r="A100" s="3" t="s">
        <v>147</v>
      </c>
      <c r="B100" s="9">
        <f>IF(COUNTIFS(funnel_events_sample!$A$2:$A$543,$A100,funnel_events_sample!$B$2:$B$543,"visited_site")=0,"",_xlfn.MINIFS(funnel_events_sample!$C$2:$C$543,funnel_events_sample!$A$2:$A$543,$A100,funnel_events_sample!$B$2:$B$543,"visited_site"))</f>
        <v>46223.156944444447</v>
      </c>
      <c r="C100" s="9">
        <f>IF(COUNTIFS(funnel_events_sample!$A$2:$A$543,$A100,funnel_events_sample!$B$2:$B$543,"signup_started")=0,"",_xlfn.MINIFS(funnel_events_sample!$C$2:$C$543,funnel_events_sample!$A$2:$A$543,$A100,funnel_events_sample!$B$2:$B$543,"signup_started"))</f>
        <v>46223.172222222223</v>
      </c>
      <c r="D100" s="9" t="str">
        <f>IF(COUNTIFS(funnel_events_sample!$A$2:$A$543,$A100,funnel_events_sample!$B$2:$B$543,"details_filled")=0,"",_xlfn.MINIFS(funnel_events_sample!$C$2:$C$543,funnel_events_sample!$A$2:$A$543,$A100,funnel_events_sample!$B$2:$B$543,"details_filled"))</f>
        <v/>
      </c>
      <c r="E100" s="9" t="str">
        <f>IF(COUNTIFS(funnel_events_sample!$A$2:$A$543,$A100,funnel_events_sample!$B$2:$B$543,"email_verified")=0,"",_xlfn.MINIFS(funnel_events_sample!$C$2:$C$543,funnel_events_sample!$A$2:$A$543,$A100,funnel_events_sample!$B$2:$B$543,"email_verified"))</f>
        <v/>
      </c>
      <c r="F100" s="9">
        <f>IF(COUNTIFS(funnel_events_sample!$A$2:$A$543,$A100,funnel_events_sample!$B$2:$B$543,"purchase_completed")=0,"",_xlfn.MINIFS(funnel_events_sample!$C$2:$C$543,funnel_events_sample!$A$2:$A$543,$A100,funnel_events_sample!$B$2:$B$543,"purchase_completed"))</f>
        <v>46223.205555555556</v>
      </c>
      <c r="G100" s="11">
        <f t="shared" si="4"/>
        <v>1.5277777776645962E-2</v>
      </c>
      <c r="H100" s="11" t="str">
        <f t="shared" si="5"/>
        <v/>
      </c>
      <c r="I100" s="11" t="str">
        <f t="shared" si="6"/>
        <v/>
      </c>
      <c r="J100" s="11" t="str">
        <f t="shared" si="7"/>
        <v/>
      </c>
    </row>
    <row r="101" spans="1:10">
      <c r="A101" s="3" t="s">
        <v>157</v>
      </c>
      <c r="B101" s="9">
        <f>IF(COUNTIFS(funnel_events_sample!$A$2:$A$543,$A101,funnel_events_sample!$B$2:$B$543,"visited_site")=0,"",_xlfn.MINIFS(funnel_events_sample!$C$2:$C$543,funnel_events_sample!$A$2:$A$543,$A101,funnel_events_sample!$B$2:$B$543,"visited_site"))</f>
        <v>46223.171527777777</v>
      </c>
      <c r="C101" s="9">
        <f>IF(COUNTIFS(funnel_events_sample!$A$2:$A$543,$A101,funnel_events_sample!$B$2:$B$543,"signup_started")=0,"",_xlfn.MINIFS(funnel_events_sample!$C$2:$C$543,funnel_events_sample!$A$2:$A$543,$A101,funnel_events_sample!$B$2:$B$543,"signup_started"))</f>
        <v>46223.181250000001</v>
      </c>
      <c r="D101" s="9" t="str">
        <f>IF(COUNTIFS(funnel_events_sample!$A$2:$A$543,$A101,funnel_events_sample!$B$2:$B$543,"details_filled")=0,"",_xlfn.MINIFS(funnel_events_sample!$C$2:$C$543,funnel_events_sample!$A$2:$A$543,$A101,funnel_events_sample!$B$2:$B$543,"details_filled"))</f>
        <v/>
      </c>
      <c r="E101" s="9" t="str">
        <f>IF(COUNTIFS(funnel_events_sample!$A$2:$A$543,$A101,funnel_events_sample!$B$2:$B$543,"email_verified")=0,"",_xlfn.MINIFS(funnel_events_sample!$C$2:$C$543,funnel_events_sample!$A$2:$A$543,$A101,funnel_events_sample!$B$2:$B$543,"email_verified"))</f>
        <v/>
      </c>
      <c r="F101" s="9">
        <f>IF(COUNTIFS(funnel_events_sample!$A$2:$A$543,$A101,funnel_events_sample!$B$2:$B$543,"purchase_completed")=0,"",_xlfn.MINIFS(funnel_events_sample!$C$2:$C$543,funnel_events_sample!$A$2:$A$543,$A101,funnel_events_sample!$B$2:$B$543,"purchase_completed"))</f>
        <v>46223.211111111108</v>
      </c>
      <c r="G101" s="11">
        <f t="shared" si="4"/>
        <v>9.7222222248092294E-3</v>
      </c>
      <c r="H101" s="11" t="str">
        <f t="shared" si="5"/>
        <v/>
      </c>
      <c r="I101" s="11" t="str">
        <f t="shared" si="6"/>
        <v/>
      </c>
      <c r="J101" s="11" t="str">
        <f t="shared" si="7"/>
        <v/>
      </c>
    </row>
    <row r="102" spans="1:10">
      <c r="A102" s="3" t="s">
        <v>80</v>
      </c>
      <c r="B102" s="9">
        <f>IF(COUNTIFS(funnel_events_sample!$A$2:$A$543,$A102,funnel_events_sample!$B$2:$B$543,"visited_site")=0,"",_xlfn.MINIFS(funnel_events_sample!$C$2:$C$543,funnel_events_sample!$A$2:$A$543,$A102,funnel_events_sample!$B$2:$B$543,"visited_site"))</f>
        <v>46223.147916666669</v>
      </c>
      <c r="C102" s="9">
        <f>IF(COUNTIFS(funnel_events_sample!$A$2:$A$543,$A102,funnel_events_sample!$B$2:$B$543,"signup_started")=0,"",_xlfn.MINIFS(funnel_events_sample!$C$2:$C$543,funnel_events_sample!$A$2:$A$543,$A102,funnel_events_sample!$B$2:$B$543,"signup_started"))</f>
        <v>46223.158333333333</v>
      </c>
      <c r="D102" s="9" t="str">
        <f>IF(COUNTIFS(funnel_events_sample!$A$2:$A$543,$A102,funnel_events_sample!$B$2:$B$543,"details_filled")=0,"",_xlfn.MINIFS(funnel_events_sample!$C$2:$C$543,funnel_events_sample!$A$2:$A$543,$A102,funnel_events_sample!$B$2:$B$543,"details_filled"))</f>
        <v/>
      </c>
      <c r="E102" s="9" t="str">
        <f>IF(COUNTIFS(funnel_events_sample!$A$2:$A$543,$A102,funnel_events_sample!$B$2:$B$543,"email_verified")=0,"",_xlfn.MINIFS(funnel_events_sample!$C$2:$C$543,funnel_events_sample!$A$2:$A$543,$A102,funnel_events_sample!$B$2:$B$543,"email_verified"))</f>
        <v/>
      </c>
      <c r="F102" s="9">
        <f>IF(COUNTIFS(funnel_events_sample!$A$2:$A$543,$A102,funnel_events_sample!$B$2:$B$543,"purchase_completed")=0,"",_xlfn.MINIFS(funnel_events_sample!$C$2:$C$543,funnel_events_sample!$A$2:$A$543,$A102,funnel_events_sample!$B$2:$B$543,"purchase_completed"))</f>
        <v>46223.193749999999</v>
      </c>
      <c r="G102" s="11">
        <f t="shared" si="4"/>
        <v>1.0416666664241347E-2</v>
      </c>
      <c r="H102" s="11" t="str">
        <f t="shared" si="5"/>
        <v/>
      </c>
      <c r="I102" s="11" t="str">
        <f t="shared" si="6"/>
        <v/>
      </c>
      <c r="J102" s="11" t="str">
        <f t="shared" si="7"/>
        <v/>
      </c>
    </row>
    <row r="103" spans="1:10">
      <c r="A103" s="3" t="s">
        <v>119</v>
      </c>
      <c r="B103" s="9">
        <f>IF(COUNTIFS(funnel_events_sample!$A$2:$A$543,$A103,funnel_events_sample!$B$2:$B$543,"visited_site")=0,"",_xlfn.MINIFS(funnel_events_sample!$C$2:$C$543,funnel_events_sample!$A$2:$A$543,$A103,funnel_events_sample!$B$2:$B$543,"visited_site"))</f>
        <v>46223.163888888892</v>
      </c>
      <c r="C103" s="9">
        <f>IF(COUNTIFS(funnel_events_sample!$A$2:$A$543,$A103,funnel_events_sample!$B$2:$B$543,"signup_started")=0,"",_xlfn.MINIFS(funnel_events_sample!$C$2:$C$543,funnel_events_sample!$A$2:$A$543,$A103,funnel_events_sample!$B$2:$B$543,"signup_started"))</f>
        <v>46223.158333333333</v>
      </c>
      <c r="D103" s="9" t="str">
        <f>IF(COUNTIFS(funnel_events_sample!$A$2:$A$543,$A103,funnel_events_sample!$B$2:$B$543,"details_filled")=0,"",_xlfn.MINIFS(funnel_events_sample!$C$2:$C$543,funnel_events_sample!$A$2:$A$543,$A103,funnel_events_sample!$B$2:$B$543,"details_filled"))</f>
        <v/>
      </c>
      <c r="E103" s="9" t="str">
        <f>IF(COUNTIFS(funnel_events_sample!$A$2:$A$543,$A103,funnel_events_sample!$B$2:$B$543,"email_verified")=0,"",_xlfn.MINIFS(funnel_events_sample!$C$2:$C$543,funnel_events_sample!$A$2:$A$543,$A103,funnel_events_sample!$B$2:$B$543,"email_verified"))</f>
        <v/>
      </c>
      <c r="F103" s="9">
        <f>IF(COUNTIFS(funnel_events_sample!$A$2:$A$543,$A103,funnel_events_sample!$B$2:$B$543,"purchase_completed")=0,"",_xlfn.MINIFS(funnel_events_sample!$C$2:$C$543,funnel_events_sample!$A$2:$A$543,$A103,funnel_events_sample!$B$2:$B$543,"purchase_completed"))</f>
        <v>46223.199999999997</v>
      </c>
      <c r="G103" s="11" t="str">
        <f t="shared" si="4"/>
        <v/>
      </c>
      <c r="H103" s="11" t="str">
        <f t="shared" si="5"/>
        <v/>
      </c>
      <c r="I103" s="11" t="str">
        <f t="shared" si="6"/>
        <v/>
      </c>
      <c r="J103" s="11" t="str">
        <f t="shared" si="7"/>
        <v/>
      </c>
    </row>
    <row r="104" spans="1:10">
      <c r="A104" s="3" t="s">
        <v>90</v>
      </c>
      <c r="B104" s="9">
        <f>IF(COUNTIFS(funnel_events_sample!$A$2:$A$543,$A104,funnel_events_sample!$B$2:$B$543,"visited_site")=0,"",_xlfn.MINIFS(funnel_events_sample!$C$2:$C$543,funnel_events_sample!$A$2:$A$543,$A104,funnel_events_sample!$B$2:$B$543,"visited_site"))</f>
        <v>46223.15347222222</v>
      </c>
      <c r="C104" s="9">
        <f>IF(COUNTIFS(funnel_events_sample!$A$2:$A$543,$A104,funnel_events_sample!$B$2:$B$543,"signup_started")=0,"",_xlfn.MINIFS(funnel_events_sample!$C$2:$C$543,funnel_events_sample!$A$2:$A$543,$A104,funnel_events_sample!$B$2:$B$543,"signup_started"))</f>
        <v>46223.17083333333</v>
      </c>
      <c r="D104" s="9" t="str">
        <f>IF(COUNTIFS(funnel_events_sample!$A$2:$A$543,$A104,funnel_events_sample!$B$2:$B$543,"details_filled")=0,"",_xlfn.MINIFS(funnel_events_sample!$C$2:$C$543,funnel_events_sample!$A$2:$A$543,$A104,funnel_events_sample!$B$2:$B$543,"details_filled"))</f>
        <v/>
      </c>
      <c r="E104" s="9" t="str">
        <f>IF(COUNTIFS(funnel_events_sample!$A$2:$A$543,$A104,funnel_events_sample!$B$2:$B$543,"email_verified")=0,"",_xlfn.MINIFS(funnel_events_sample!$C$2:$C$543,funnel_events_sample!$A$2:$A$543,$A104,funnel_events_sample!$B$2:$B$543,"email_verified"))</f>
        <v/>
      </c>
      <c r="F104" s="9">
        <f>IF(COUNTIFS(funnel_events_sample!$A$2:$A$543,$A104,funnel_events_sample!$B$2:$B$543,"purchase_completed")=0,"",_xlfn.MINIFS(funnel_events_sample!$C$2:$C$543,funnel_events_sample!$A$2:$A$543,$A104,funnel_events_sample!$B$2:$B$543,"purchase_completed"))</f>
        <v>46223.195138888892</v>
      </c>
      <c r="G104" s="11">
        <f t="shared" si="4"/>
        <v>1.7361111109494232E-2</v>
      </c>
      <c r="H104" s="11" t="str">
        <f t="shared" si="5"/>
        <v/>
      </c>
      <c r="I104" s="11" t="str">
        <f t="shared" si="6"/>
        <v/>
      </c>
      <c r="J104" s="11" t="str">
        <f t="shared" si="7"/>
        <v/>
      </c>
    </row>
    <row r="105" spans="1:10">
      <c r="A105" s="3" t="s">
        <v>107</v>
      </c>
      <c r="B105" s="9">
        <f>IF(COUNTIFS(funnel_events_sample!$A$2:$A$543,$A105,funnel_events_sample!$B$2:$B$543,"visited_site")=0,"",_xlfn.MINIFS(funnel_events_sample!$C$2:$C$543,funnel_events_sample!$A$2:$A$543,$A105,funnel_events_sample!$B$2:$B$543,"visited_site"))</f>
        <v>46223.15</v>
      </c>
      <c r="C105" s="9">
        <f>IF(COUNTIFS(funnel_events_sample!$A$2:$A$543,$A105,funnel_events_sample!$B$2:$B$543,"signup_started")=0,"",_xlfn.MINIFS(funnel_events_sample!$C$2:$C$543,funnel_events_sample!$A$2:$A$543,$A105,funnel_events_sample!$B$2:$B$543,"signup_started"))</f>
        <v>46223.161805555559</v>
      </c>
      <c r="D105" s="9" t="str">
        <f>IF(COUNTIFS(funnel_events_sample!$A$2:$A$543,$A105,funnel_events_sample!$B$2:$B$543,"details_filled")=0,"",_xlfn.MINIFS(funnel_events_sample!$C$2:$C$543,funnel_events_sample!$A$2:$A$543,$A105,funnel_events_sample!$B$2:$B$543,"details_filled"))</f>
        <v/>
      </c>
      <c r="E105" s="9" t="str">
        <f>IF(COUNTIFS(funnel_events_sample!$A$2:$A$543,$A105,funnel_events_sample!$B$2:$B$543,"email_verified")=0,"",_xlfn.MINIFS(funnel_events_sample!$C$2:$C$543,funnel_events_sample!$A$2:$A$543,$A105,funnel_events_sample!$B$2:$B$543,"email_verified"))</f>
        <v/>
      </c>
      <c r="F105" s="9">
        <f>IF(COUNTIFS(funnel_events_sample!$A$2:$A$543,$A105,funnel_events_sample!$B$2:$B$543,"purchase_completed")=0,"",_xlfn.MINIFS(funnel_events_sample!$C$2:$C$543,funnel_events_sample!$A$2:$A$543,$A105,funnel_events_sample!$B$2:$B$543,"purchase_completed"))</f>
        <v>46223.207638888889</v>
      </c>
      <c r="G105" s="11">
        <f t="shared" si="4"/>
        <v>1.1805555557657499E-2</v>
      </c>
      <c r="H105" s="11" t="str">
        <f t="shared" si="5"/>
        <v/>
      </c>
      <c r="I105" s="11" t="str">
        <f t="shared" si="6"/>
        <v/>
      </c>
      <c r="J105" s="11" t="str">
        <f t="shared" si="7"/>
        <v/>
      </c>
    </row>
    <row r="106" spans="1:10">
      <c r="A106" s="3" t="s">
        <v>29</v>
      </c>
      <c r="B106" s="9">
        <f>IF(COUNTIFS(funnel_events_sample!$A$2:$A$543,$A106,funnel_events_sample!$B$2:$B$543,"visited_site")=0,"",_xlfn.MINIFS(funnel_events_sample!$C$2:$C$543,funnel_events_sample!$A$2:$A$543,$A106,funnel_events_sample!$B$2:$B$543,"visited_site"))</f>
        <v>46223.163194444445</v>
      </c>
      <c r="C106" s="9">
        <f>IF(COUNTIFS(funnel_events_sample!$A$2:$A$543,$A106,funnel_events_sample!$B$2:$B$543,"signup_started")=0,"",_xlfn.MINIFS(funnel_events_sample!$C$2:$C$543,funnel_events_sample!$A$2:$A$543,$A106,funnel_events_sample!$B$2:$B$543,"signup_started"))</f>
        <v>46223.17291666667</v>
      </c>
      <c r="D106" s="9" t="str">
        <f>IF(COUNTIFS(funnel_events_sample!$A$2:$A$543,$A106,funnel_events_sample!$B$2:$B$543,"details_filled")=0,"",_xlfn.MINIFS(funnel_events_sample!$C$2:$C$543,funnel_events_sample!$A$2:$A$543,$A106,funnel_events_sample!$B$2:$B$543,"details_filled"))</f>
        <v/>
      </c>
      <c r="E106" s="9" t="str">
        <f>IF(COUNTIFS(funnel_events_sample!$A$2:$A$543,$A106,funnel_events_sample!$B$2:$B$543,"email_verified")=0,"",_xlfn.MINIFS(funnel_events_sample!$C$2:$C$543,funnel_events_sample!$A$2:$A$543,$A106,funnel_events_sample!$B$2:$B$543,"email_verified"))</f>
        <v/>
      </c>
      <c r="F106" s="9">
        <f>IF(COUNTIFS(funnel_events_sample!$A$2:$A$543,$A106,funnel_events_sample!$B$2:$B$543,"purchase_completed")=0,"",_xlfn.MINIFS(funnel_events_sample!$C$2:$C$543,funnel_events_sample!$A$2:$A$543,$A106,funnel_events_sample!$B$2:$B$543,"purchase_completed"))</f>
        <v>46223.199305555558</v>
      </c>
      <c r="G106" s="11">
        <f t="shared" si="4"/>
        <v>9.7222222248092294E-3</v>
      </c>
      <c r="H106" s="11" t="str">
        <f t="shared" si="5"/>
        <v/>
      </c>
      <c r="I106" s="11" t="str">
        <f t="shared" si="6"/>
        <v/>
      </c>
      <c r="J106" s="11" t="str">
        <f t="shared" si="7"/>
        <v/>
      </c>
    </row>
    <row r="107" spans="1:10">
      <c r="A107" s="3" t="s">
        <v>161</v>
      </c>
      <c r="B107" s="9">
        <f>IF(COUNTIFS(funnel_events_sample!$A$2:$A$543,$A107,funnel_events_sample!$B$2:$B$543,"visited_site")=0,"",_xlfn.MINIFS(funnel_events_sample!$C$2:$C$543,funnel_events_sample!$A$2:$A$543,$A107,funnel_events_sample!$B$2:$B$543,"visited_site"))</f>
        <v>46223.15347222222</v>
      </c>
      <c r="C107" s="9">
        <f>IF(COUNTIFS(funnel_events_sample!$A$2:$A$543,$A107,funnel_events_sample!$B$2:$B$543,"signup_started")=0,"",_xlfn.MINIFS(funnel_events_sample!$C$2:$C$543,funnel_events_sample!$A$2:$A$543,$A107,funnel_events_sample!$B$2:$B$543,"signup_started"))</f>
        <v>46223.163888888892</v>
      </c>
      <c r="D107" s="9" t="str">
        <f>IF(COUNTIFS(funnel_events_sample!$A$2:$A$543,$A107,funnel_events_sample!$B$2:$B$543,"details_filled")=0,"",_xlfn.MINIFS(funnel_events_sample!$C$2:$C$543,funnel_events_sample!$A$2:$A$543,$A107,funnel_events_sample!$B$2:$B$543,"details_filled"))</f>
        <v/>
      </c>
      <c r="E107" s="9" t="str">
        <f>IF(COUNTIFS(funnel_events_sample!$A$2:$A$543,$A107,funnel_events_sample!$B$2:$B$543,"email_verified")=0,"",_xlfn.MINIFS(funnel_events_sample!$C$2:$C$543,funnel_events_sample!$A$2:$A$543,$A107,funnel_events_sample!$B$2:$B$543,"email_verified"))</f>
        <v/>
      </c>
      <c r="F107" s="9">
        <f>IF(COUNTIFS(funnel_events_sample!$A$2:$A$543,$A107,funnel_events_sample!$B$2:$B$543,"purchase_completed")=0,"",_xlfn.MINIFS(funnel_events_sample!$C$2:$C$543,funnel_events_sample!$A$2:$A$543,$A107,funnel_events_sample!$B$2:$B$543,"purchase_completed"))</f>
        <v>46223.203472222223</v>
      </c>
      <c r="G107" s="11">
        <f t="shared" si="4"/>
        <v>1.0416666671517305E-2</v>
      </c>
      <c r="H107" s="11" t="str">
        <f t="shared" si="5"/>
        <v/>
      </c>
      <c r="I107" s="11" t="str">
        <f t="shared" si="6"/>
        <v/>
      </c>
      <c r="J107" s="11" t="str">
        <f t="shared" si="7"/>
        <v/>
      </c>
    </row>
    <row r="108" spans="1:10">
      <c r="A108" s="3" t="s">
        <v>175</v>
      </c>
      <c r="B108" s="9">
        <f>IF(COUNTIFS(funnel_events_sample!$A$2:$A$543,$A108,funnel_events_sample!$B$2:$B$543,"visited_site")=0,"",_xlfn.MINIFS(funnel_events_sample!$C$2:$C$543,funnel_events_sample!$A$2:$A$543,$A108,funnel_events_sample!$B$2:$B$543,"visited_site"))</f>
        <v>46223.154861111114</v>
      </c>
      <c r="C108" s="9">
        <f>IF(COUNTIFS(funnel_events_sample!$A$2:$A$543,$A108,funnel_events_sample!$B$2:$B$543,"signup_started")=0,"",_xlfn.MINIFS(funnel_events_sample!$C$2:$C$543,funnel_events_sample!$A$2:$A$543,$A108,funnel_events_sample!$B$2:$B$543,"signup_started"))</f>
        <v>46223.178472222222</v>
      </c>
      <c r="D108" s="9" t="str">
        <f>IF(COUNTIFS(funnel_events_sample!$A$2:$A$543,$A108,funnel_events_sample!$B$2:$B$543,"details_filled")=0,"",_xlfn.MINIFS(funnel_events_sample!$C$2:$C$543,funnel_events_sample!$A$2:$A$543,$A108,funnel_events_sample!$B$2:$B$543,"details_filled"))</f>
        <v/>
      </c>
      <c r="E108" s="9" t="str">
        <f>IF(COUNTIFS(funnel_events_sample!$A$2:$A$543,$A108,funnel_events_sample!$B$2:$B$543,"email_verified")=0,"",_xlfn.MINIFS(funnel_events_sample!$C$2:$C$543,funnel_events_sample!$A$2:$A$543,$A108,funnel_events_sample!$B$2:$B$543,"email_verified"))</f>
        <v/>
      </c>
      <c r="F108" s="9">
        <f>IF(COUNTIFS(funnel_events_sample!$A$2:$A$543,$A108,funnel_events_sample!$B$2:$B$543,"purchase_completed")=0,"",_xlfn.MINIFS(funnel_events_sample!$C$2:$C$543,funnel_events_sample!$A$2:$A$543,$A108,funnel_events_sample!$B$2:$B$543,"purchase_completed"))</f>
        <v>46223.213888888888</v>
      </c>
      <c r="G108" s="11">
        <f t="shared" si="4"/>
        <v>2.361111110803904E-2</v>
      </c>
      <c r="H108" s="11" t="str">
        <f t="shared" si="5"/>
        <v/>
      </c>
      <c r="I108" s="11" t="str">
        <f t="shared" si="6"/>
        <v/>
      </c>
      <c r="J108" s="11" t="str">
        <f t="shared" si="7"/>
        <v/>
      </c>
    </row>
    <row r="109" spans="1:10">
      <c r="A109" s="3" t="s">
        <v>190</v>
      </c>
      <c r="B109" s="9">
        <f>IF(COUNTIFS(funnel_events_sample!$A$2:$A$543,$A109,funnel_events_sample!$B$2:$B$543,"visited_site")=0,"",_xlfn.MINIFS(funnel_events_sample!$C$2:$C$543,funnel_events_sample!$A$2:$A$543,$A109,funnel_events_sample!$B$2:$B$543,"visited_site"))</f>
        <v>46223.166666666664</v>
      </c>
      <c r="C109" s="9">
        <f>IF(COUNTIFS(funnel_events_sample!$A$2:$A$543,$A109,funnel_events_sample!$B$2:$B$543,"signup_started")=0,"",_xlfn.MINIFS(funnel_events_sample!$C$2:$C$543,funnel_events_sample!$A$2:$A$543,$A109,funnel_events_sample!$B$2:$B$543,"signup_started"))</f>
        <v>46223.183333333334</v>
      </c>
      <c r="D109" s="9" t="str">
        <f>IF(COUNTIFS(funnel_events_sample!$A$2:$A$543,$A109,funnel_events_sample!$B$2:$B$543,"details_filled")=0,"",_xlfn.MINIFS(funnel_events_sample!$C$2:$C$543,funnel_events_sample!$A$2:$A$543,$A109,funnel_events_sample!$B$2:$B$543,"details_filled"))</f>
        <v/>
      </c>
      <c r="E109" s="9" t="str">
        <f>IF(COUNTIFS(funnel_events_sample!$A$2:$A$543,$A109,funnel_events_sample!$B$2:$B$543,"email_verified")=0,"",_xlfn.MINIFS(funnel_events_sample!$C$2:$C$543,funnel_events_sample!$A$2:$A$543,$A109,funnel_events_sample!$B$2:$B$543,"email_verified"))</f>
        <v/>
      </c>
      <c r="F109" s="9">
        <f>IF(COUNTIFS(funnel_events_sample!$A$2:$A$543,$A109,funnel_events_sample!$B$2:$B$543,"purchase_completed")=0,"",_xlfn.MINIFS(funnel_events_sample!$C$2:$C$543,funnel_events_sample!$A$2:$A$543,$A109,funnel_events_sample!$B$2:$B$543,"purchase_completed"))</f>
        <v>46223.213194444441</v>
      </c>
      <c r="G109" s="11">
        <f t="shared" si="4"/>
        <v>1.6666666670062114E-2</v>
      </c>
      <c r="H109" s="11" t="str">
        <f t="shared" si="5"/>
        <v/>
      </c>
      <c r="I109" s="11" t="str">
        <f t="shared" si="6"/>
        <v/>
      </c>
      <c r="J109" s="11" t="str">
        <f t="shared" si="7"/>
        <v/>
      </c>
    </row>
    <row r="110" spans="1:10">
      <c r="A110" s="3" t="s">
        <v>176</v>
      </c>
      <c r="B110" s="9">
        <f>IF(COUNTIFS(funnel_events_sample!$A$2:$A$543,$A110,funnel_events_sample!$B$2:$B$543,"visited_site")=0,"",_xlfn.MINIFS(funnel_events_sample!$C$2:$C$543,funnel_events_sample!$A$2:$A$543,$A110,funnel_events_sample!$B$2:$B$543,"visited_site"))</f>
        <v>46223.170138888891</v>
      </c>
      <c r="C110" s="9">
        <f>IF(COUNTIFS(funnel_events_sample!$A$2:$A$543,$A110,funnel_events_sample!$B$2:$B$543,"signup_started")=0,"",_xlfn.MINIFS(funnel_events_sample!$C$2:$C$543,funnel_events_sample!$A$2:$A$543,$A110,funnel_events_sample!$B$2:$B$543,"signup_started"))</f>
        <v>46223.177083333336</v>
      </c>
      <c r="D110" s="9" t="str">
        <f>IF(COUNTIFS(funnel_events_sample!$A$2:$A$543,$A110,funnel_events_sample!$B$2:$B$543,"details_filled")=0,"",_xlfn.MINIFS(funnel_events_sample!$C$2:$C$543,funnel_events_sample!$A$2:$A$543,$A110,funnel_events_sample!$B$2:$B$543,"details_filled"))</f>
        <v/>
      </c>
      <c r="E110" s="9" t="str">
        <f>IF(COUNTIFS(funnel_events_sample!$A$2:$A$543,$A110,funnel_events_sample!$B$2:$B$543,"email_verified")=0,"",_xlfn.MINIFS(funnel_events_sample!$C$2:$C$543,funnel_events_sample!$A$2:$A$543,$A110,funnel_events_sample!$B$2:$B$543,"email_verified"))</f>
        <v/>
      </c>
      <c r="F110" s="9">
        <f>IF(COUNTIFS(funnel_events_sample!$A$2:$A$543,$A110,funnel_events_sample!$B$2:$B$543,"purchase_completed")=0,"",_xlfn.MINIFS(funnel_events_sample!$C$2:$C$543,funnel_events_sample!$A$2:$A$543,$A110,funnel_events_sample!$B$2:$B$543,"purchase_completed"))</f>
        <v>46223.189583333333</v>
      </c>
      <c r="G110" s="11">
        <f t="shared" si="4"/>
        <v>6.9444444452528842E-3</v>
      </c>
      <c r="H110" s="11" t="str">
        <f t="shared" si="5"/>
        <v/>
      </c>
      <c r="I110" s="11" t="str">
        <f t="shared" si="6"/>
        <v/>
      </c>
      <c r="J110" s="11" t="str">
        <f t="shared" si="7"/>
        <v/>
      </c>
    </row>
    <row r="111" spans="1:10">
      <c r="A111" s="3" t="s">
        <v>3</v>
      </c>
      <c r="B111" s="9">
        <f>IF(COUNTIFS(funnel_events_sample!$A$2:$A$543,$A111,funnel_events_sample!$B$2:$B$543,"visited_site")=0,"",_xlfn.MINIFS(funnel_events_sample!$C$2:$C$543,funnel_events_sample!$A$2:$A$543,$A111,funnel_events_sample!$B$2:$B$543,"visited_site"))</f>
        <v>46223.169444444444</v>
      </c>
      <c r="C111" s="9">
        <f>IF(COUNTIFS(funnel_events_sample!$A$2:$A$543,$A111,funnel_events_sample!$B$2:$B$543,"signup_started")=0,"",_xlfn.MINIFS(funnel_events_sample!$C$2:$C$543,funnel_events_sample!$A$2:$A$543,$A111,funnel_events_sample!$B$2:$B$543,"signup_started"))</f>
        <v>46223.181250000001</v>
      </c>
      <c r="D111" s="9" t="str">
        <f>IF(COUNTIFS(funnel_events_sample!$A$2:$A$543,$A111,funnel_events_sample!$B$2:$B$543,"details_filled")=0,"",_xlfn.MINIFS(funnel_events_sample!$C$2:$C$543,funnel_events_sample!$A$2:$A$543,$A111,funnel_events_sample!$B$2:$B$543,"details_filled"))</f>
        <v/>
      </c>
      <c r="E111" s="9" t="str">
        <f>IF(COUNTIFS(funnel_events_sample!$A$2:$A$543,$A111,funnel_events_sample!$B$2:$B$543,"email_verified")=0,"",_xlfn.MINIFS(funnel_events_sample!$C$2:$C$543,funnel_events_sample!$A$2:$A$543,$A111,funnel_events_sample!$B$2:$B$543,"email_verified"))</f>
        <v/>
      </c>
      <c r="F111" s="9">
        <f>IF(COUNTIFS(funnel_events_sample!$A$2:$A$543,$A111,funnel_events_sample!$B$2:$B$543,"purchase_completed")=0,"",_xlfn.MINIFS(funnel_events_sample!$C$2:$C$543,funnel_events_sample!$A$2:$A$543,$A111,funnel_events_sample!$B$2:$B$543,"purchase_completed"))</f>
        <v>46223.203472222223</v>
      </c>
      <c r="G111" s="11">
        <f t="shared" si="4"/>
        <v>1.1805555557657499E-2</v>
      </c>
      <c r="H111" s="11" t="str">
        <f t="shared" si="5"/>
        <v/>
      </c>
      <c r="I111" s="11" t="str">
        <f t="shared" si="6"/>
        <v/>
      </c>
      <c r="J111" s="11" t="str">
        <f t="shared" si="7"/>
        <v/>
      </c>
    </row>
    <row r="112" spans="1:10">
      <c r="A112" s="3" t="s">
        <v>169</v>
      </c>
      <c r="B112" s="9">
        <f>IF(COUNTIFS(funnel_events_sample!$A$2:$A$543,$A112,funnel_events_sample!$B$2:$B$543,"visited_site")=0,"",_xlfn.MINIFS(funnel_events_sample!$C$2:$C$543,funnel_events_sample!$A$2:$A$543,$A112,funnel_events_sample!$B$2:$B$543,"visited_site"))</f>
        <v>46223.147916666669</v>
      </c>
      <c r="C112" s="9">
        <f>IF(COUNTIFS(funnel_events_sample!$A$2:$A$543,$A112,funnel_events_sample!$B$2:$B$543,"signup_started")=0,"",_xlfn.MINIFS(funnel_events_sample!$C$2:$C$543,funnel_events_sample!$A$2:$A$543,$A112,funnel_events_sample!$B$2:$B$543,"signup_started"))</f>
        <v>46223.15902777778</v>
      </c>
      <c r="D112" s="9" t="str">
        <f>IF(COUNTIFS(funnel_events_sample!$A$2:$A$543,$A112,funnel_events_sample!$B$2:$B$543,"details_filled")=0,"",_xlfn.MINIFS(funnel_events_sample!$C$2:$C$543,funnel_events_sample!$A$2:$A$543,$A112,funnel_events_sample!$B$2:$B$543,"details_filled"))</f>
        <v/>
      </c>
      <c r="E112" s="9" t="str">
        <f>IF(COUNTIFS(funnel_events_sample!$A$2:$A$543,$A112,funnel_events_sample!$B$2:$B$543,"email_verified")=0,"",_xlfn.MINIFS(funnel_events_sample!$C$2:$C$543,funnel_events_sample!$A$2:$A$543,$A112,funnel_events_sample!$B$2:$B$543,"email_verified"))</f>
        <v/>
      </c>
      <c r="F112" s="9">
        <f>IF(COUNTIFS(funnel_events_sample!$A$2:$A$543,$A112,funnel_events_sample!$B$2:$B$543,"purchase_completed")=0,"",_xlfn.MINIFS(funnel_events_sample!$C$2:$C$543,funnel_events_sample!$A$2:$A$543,$A112,funnel_events_sample!$B$2:$B$543,"purchase_completed"))</f>
        <v>46223.19027777778</v>
      </c>
      <c r="G112" s="11">
        <f t="shared" si="4"/>
        <v>1.1111111110949423E-2</v>
      </c>
      <c r="H112" s="11" t="str">
        <f t="shared" si="5"/>
        <v/>
      </c>
      <c r="I112" s="11" t="str">
        <f t="shared" si="6"/>
        <v/>
      </c>
      <c r="J112" s="11" t="str">
        <f t="shared" si="7"/>
        <v/>
      </c>
    </row>
    <row r="113" spans="1:10">
      <c r="A113" s="3" t="s">
        <v>88</v>
      </c>
      <c r="B113" s="9">
        <f>IF(COUNTIFS(funnel_events_sample!$A$2:$A$543,$A113,funnel_events_sample!$B$2:$B$543,"visited_site")=0,"",_xlfn.MINIFS(funnel_events_sample!$C$2:$C$543,funnel_events_sample!$A$2:$A$543,$A113,funnel_events_sample!$B$2:$B$543,"visited_site"))</f>
        <v>46223.17291666667</v>
      </c>
      <c r="C113" s="9">
        <f>IF(COUNTIFS(funnel_events_sample!$A$2:$A$543,$A113,funnel_events_sample!$B$2:$B$543,"signup_started")=0,"",_xlfn.MINIFS(funnel_events_sample!$C$2:$C$543,funnel_events_sample!$A$2:$A$543,$A113,funnel_events_sample!$B$2:$B$543,"signup_started"))</f>
        <v>46223.168055555558</v>
      </c>
      <c r="D113" s="9" t="str">
        <f>IF(COUNTIFS(funnel_events_sample!$A$2:$A$543,$A113,funnel_events_sample!$B$2:$B$543,"details_filled")=0,"",_xlfn.MINIFS(funnel_events_sample!$C$2:$C$543,funnel_events_sample!$A$2:$A$543,$A113,funnel_events_sample!$B$2:$B$543,"details_filled"))</f>
        <v/>
      </c>
      <c r="E113" s="9" t="str">
        <f>IF(COUNTIFS(funnel_events_sample!$A$2:$A$543,$A113,funnel_events_sample!$B$2:$B$543,"email_verified")=0,"",_xlfn.MINIFS(funnel_events_sample!$C$2:$C$543,funnel_events_sample!$A$2:$A$543,$A113,funnel_events_sample!$B$2:$B$543,"email_verified"))</f>
        <v/>
      </c>
      <c r="F113" s="9">
        <f>IF(COUNTIFS(funnel_events_sample!$A$2:$A$543,$A113,funnel_events_sample!$B$2:$B$543,"purchase_completed")=0,"",_xlfn.MINIFS(funnel_events_sample!$C$2:$C$543,funnel_events_sample!$A$2:$A$543,$A113,funnel_events_sample!$B$2:$B$543,"purchase_completed"))</f>
        <v>46223.197916666664</v>
      </c>
      <c r="G113" s="11" t="str">
        <f t="shared" si="4"/>
        <v/>
      </c>
      <c r="H113" s="11" t="str">
        <f t="shared" si="5"/>
        <v/>
      </c>
      <c r="I113" s="11" t="str">
        <f t="shared" si="6"/>
        <v/>
      </c>
      <c r="J113" s="11" t="str">
        <f t="shared" si="7"/>
        <v/>
      </c>
    </row>
    <row r="114" spans="1:10">
      <c r="A114" s="3" t="s">
        <v>66</v>
      </c>
      <c r="B114" s="9">
        <f>IF(COUNTIFS(funnel_events_sample!$A$2:$A$543,$A114,funnel_events_sample!$B$2:$B$543,"visited_site")=0,"",_xlfn.MINIFS(funnel_events_sample!$C$2:$C$543,funnel_events_sample!$A$2:$A$543,$A114,funnel_events_sample!$B$2:$B$543,"visited_site"))</f>
        <v>46223.163194444445</v>
      </c>
      <c r="C114" s="9">
        <f>IF(COUNTIFS(funnel_events_sample!$A$2:$A$543,$A114,funnel_events_sample!$B$2:$B$543,"signup_started")=0,"",_xlfn.MINIFS(funnel_events_sample!$C$2:$C$543,funnel_events_sample!$A$2:$A$543,$A114,funnel_events_sample!$B$2:$B$543,"signup_started"))</f>
        <v>46223.158333333333</v>
      </c>
      <c r="D114" s="9" t="str">
        <f>IF(COUNTIFS(funnel_events_sample!$A$2:$A$543,$A114,funnel_events_sample!$B$2:$B$543,"details_filled")=0,"",_xlfn.MINIFS(funnel_events_sample!$C$2:$C$543,funnel_events_sample!$A$2:$A$543,$A114,funnel_events_sample!$B$2:$B$543,"details_filled"))</f>
        <v/>
      </c>
      <c r="E114" s="9" t="str">
        <f>IF(COUNTIFS(funnel_events_sample!$A$2:$A$543,$A114,funnel_events_sample!$B$2:$B$543,"email_verified")=0,"",_xlfn.MINIFS(funnel_events_sample!$C$2:$C$543,funnel_events_sample!$A$2:$A$543,$A114,funnel_events_sample!$B$2:$B$543,"email_verified"))</f>
        <v/>
      </c>
      <c r="F114" s="9">
        <f>IF(COUNTIFS(funnel_events_sample!$A$2:$A$543,$A114,funnel_events_sample!$B$2:$B$543,"purchase_completed")=0,"",_xlfn.MINIFS(funnel_events_sample!$C$2:$C$543,funnel_events_sample!$A$2:$A$543,$A114,funnel_events_sample!$B$2:$B$543,"purchase_completed"))</f>
        <v>46223.214583333334</v>
      </c>
      <c r="G114" s="11" t="str">
        <f t="shared" si="4"/>
        <v/>
      </c>
      <c r="H114" s="11" t="str">
        <f t="shared" si="5"/>
        <v/>
      </c>
      <c r="I114" s="11" t="str">
        <f t="shared" si="6"/>
        <v/>
      </c>
      <c r="J114" s="11" t="str">
        <f t="shared" si="7"/>
        <v/>
      </c>
    </row>
    <row r="115" spans="1:10">
      <c r="A115" s="3" t="s">
        <v>92</v>
      </c>
      <c r="B115" s="9">
        <f>IF(COUNTIFS(funnel_events_sample!$A$2:$A$543,$A115,funnel_events_sample!$B$2:$B$543,"visited_site")=0,"",_xlfn.MINIFS(funnel_events_sample!$C$2:$C$543,funnel_events_sample!$A$2:$A$543,$A115,funnel_events_sample!$B$2:$B$543,"visited_site"))</f>
        <v>46223.165972222225</v>
      </c>
      <c r="C115" s="9">
        <f>IF(COUNTIFS(funnel_events_sample!$A$2:$A$543,$A115,funnel_events_sample!$B$2:$B$543,"signup_started")=0,"",_xlfn.MINIFS(funnel_events_sample!$C$2:$C$543,funnel_events_sample!$A$2:$A$543,$A115,funnel_events_sample!$B$2:$B$543,"signup_started"))</f>
        <v>46223.161111111112</v>
      </c>
      <c r="D115" s="9" t="str">
        <f>IF(COUNTIFS(funnel_events_sample!$A$2:$A$543,$A115,funnel_events_sample!$B$2:$B$543,"details_filled")=0,"",_xlfn.MINIFS(funnel_events_sample!$C$2:$C$543,funnel_events_sample!$A$2:$A$543,$A115,funnel_events_sample!$B$2:$B$543,"details_filled"))</f>
        <v/>
      </c>
      <c r="E115" s="9" t="str">
        <f>IF(COUNTIFS(funnel_events_sample!$A$2:$A$543,$A115,funnel_events_sample!$B$2:$B$543,"email_verified")=0,"",_xlfn.MINIFS(funnel_events_sample!$C$2:$C$543,funnel_events_sample!$A$2:$A$543,$A115,funnel_events_sample!$B$2:$B$543,"email_verified"))</f>
        <v/>
      </c>
      <c r="F115" s="9">
        <f>IF(COUNTIFS(funnel_events_sample!$A$2:$A$543,$A115,funnel_events_sample!$B$2:$B$543,"purchase_completed")=0,"",_xlfn.MINIFS(funnel_events_sample!$C$2:$C$543,funnel_events_sample!$A$2:$A$543,$A115,funnel_events_sample!$B$2:$B$543,"purchase_completed"))</f>
        <v>46223.199305555558</v>
      </c>
      <c r="G115" s="11" t="str">
        <f t="shared" si="4"/>
        <v/>
      </c>
      <c r="H115" s="11" t="str">
        <f t="shared" si="5"/>
        <v/>
      </c>
      <c r="I115" s="11" t="str">
        <f t="shared" si="6"/>
        <v/>
      </c>
      <c r="J115" s="11" t="str">
        <f t="shared" si="7"/>
        <v/>
      </c>
    </row>
    <row r="116" spans="1:10">
      <c r="A116" s="3" t="s">
        <v>123</v>
      </c>
      <c r="B116" s="9">
        <f>IF(COUNTIFS(funnel_events_sample!$A$2:$A$543,$A116,funnel_events_sample!$B$2:$B$543,"visited_site")=0,"",_xlfn.MINIFS(funnel_events_sample!$C$2:$C$543,funnel_events_sample!$A$2:$A$543,$A116,funnel_events_sample!$B$2:$B$543,"visited_site"))</f>
        <v>46223.171527777777</v>
      </c>
      <c r="C116" s="9">
        <f>IF(COUNTIFS(funnel_events_sample!$A$2:$A$543,$A116,funnel_events_sample!$B$2:$B$543,"signup_started")=0,"",_xlfn.MINIFS(funnel_events_sample!$C$2:$C$543,funnel_events_sample!$A$2:$A$543,$A116,funnel_events_sample!$B$2:$B$543,"signup_started"))</f>
        <v>46223.167361111111</v>
      </c>
      <c r="D116" s="9" t="str">
        <f>IF(COUNTIFS(funnel_events_sample!$A$2:$A$543,$A116,funnel_events_sample!$B$2:$B$543,"details_filled")=0,"",_xlfn.MINIFS(funnel_events_sample!$C$2:$C$543,funnel_events_sample!$A$2:$A$543,$A116,funnel_events_sample!$B$2:$B$543,"details_filled"))</f>
        <v/>
      </c>
      <c r="E116" s="9" t="str">
        <f>IF(COUNTIFS(funnel_events_sample!$A$2:$A$543,$A116,funnel_events_sample!$B$2:$B$543,"email_verified")=0,"",_xlfn.MINIFS(funnel_events_sample!$C$2:$C$543,funnel_events_sample!$A$2:$A$543,$A116,funnel_events_sample!$B$2:$B$543,"email_verified"))</f>
        <v/>
      </c>
      <c r="F116" s="9">
        <f>IF(COUNTIFS(funnel_events_sample!$A$2:$A$543,$A116,funnel_events_sample!$B$2:$B$543,"purchase_completed")=0,"",_xlfn.MINIFS(funnel_events_sample!$C$2:$C$543,funnel_events_sample!$A$2:$A$543,$A116,funnel_events_sample!$B$2:$B$543,"purchase_completed"))</f>
        <v>46223.194444444445</v>
      </c>
      <c r="G116" s="11" t="str">
        <f t="shared" si="4"/>
        <v/>
      </c>
      <c r="H116" s="11" t="str">
        <f t="shared" si="5"/>
        <v/>
      </c>
      <c r="I116" s="11" t="str">
        <f t="shared" si="6"/>
        <v/>
      </c>
      <c r="J116" s="11" t="str">
        <f t="shared" si="7"/>
        <v/>
      </c>
    </row>
    <row r="117" spans="1:10">
      <c r="A117" s="3" t="s">
        <v>122</v>
      </c>
      <c r="B117" s="9">
        <f>IF(COUNTIFS(funnel_events_sample!$A$2:$A$543,$A117,funnel_events_sample!$B$2:$B$543,"visited_site")=0,"",_xlfn.MINIFS(funnel_events_sample!$C$2:$C$543,funnel_events_sample!$A$2:$A$543,$A117,funnel_events_sample!$B$2:$B$543,"visited_site"))</f>
        <v>46223.160416666666</v>
      </c>
      <c r="C117" s="9">
        <f>IF(COUNTIFS(funnel_events_sample!$A$2:$A$543,$A117,funnel_events_sample!$B$2:$B$543,"signup_started")=0,"",_xlfn.MINIFS(funnel_events_sample!$C$2:$C$543,funnel_events_sample!$A$2:$A$543,$A117,funnel_events_sample!$B$2:$B$543,"signup_started"))</f>
        <v>46223.169444444444</v>
      </c>
      <c r="D117" s="9" t="str">
        <f>IF(COUNTIFS(funnel_events_sample!$A$2:$A$543,$A117,funnel_events_sample!$B$2:$B$543,"details_filled")=0,"",_xlfn.MINIFS(funnel_events_sample!$C$2:$C$543,funnel_events_sample!$A$2:$A$543,$A117,funnel_events_sample!$B$2:$B$543,"details_filled"))</f>
        <v/>
      </c>
      <c r="E117" s="9" t="str">
        <f>IF(COUNTIFS(funnel_events_sample!$A$2:$A$543,$A117,funnel_events_sample!$B$2:$B$543,"email_verified")=0,"",_xlfn.MINIFS(funnel_events_sample!$C$2:$C$543,funnel_events_sample!$A$2:$A$543,$A117,funnel_events_sample!$B$2:$B$543,"email_verified"))</f>
        <v/>
      </c>
      <c r="F117" s="9">
        <f>IF(COUNTIFS(funnel_events_sample!$A$2:$A$543,$A117,funnel_events_sample!$B$2:$B$543,"purchase_completed")=0,"",_xlfn.MINIFS(funnel_events_sample!$C$2:$C$543,funnel_events_sample!$A$2:$A$543,$A117,funnel_events_sample!$B$2:$B$543,"purchase_completed"))</f>
        <v>46223.209027777775</v>
      </c>
      <c r="G117" s="11">
        <f t="shared" si="4"/>
        <v>9.0277777781011537E-3</v>
      </c>
      <c r="H117" s="11" t="str">
        <f t="shared" si="5"/>
        <v/>
      </c>
      <c r="I117" s="11" t="str">
        <f t="shared" si="6"/>
        <v/>
      </c>
      <c r="J117" s="11" t="str">
        <f t="shared" si="7"/>
        <v/>
      </c>
    </row>
    <row r="118" spans="1:10">
      <c r="A118" s="3" t="s">
        <v>82</v>
      </c>
      <c r="B118" s="9">
        <f>IF(COUNTIFS(funnel_events_sample!$A$2:$A$543,$A118,funnel_events_sample!$B$2:$B$543,"visited_site")=0,"",_xlfn.MINIFS(funnel_events_sample!$C$2:$C$543,funnel_events_sample!$A$2:$A$543,$A118,funnel_events_sample!$B$2:$B$543,"visited_site"))</f>
        <v>46223.151388888888</v>
      </c>
      <c r="C118" s="9">
        <f>IF(COUNTIFS(funnel_events_sample!$A$2:$A$543,$A118,funnel_events_sample!$B$2:$B$543,"signup_started")=0,"",_xlfn.MINIFS(funnel_events_sample!$C$2:$C$543,funnel_events_sample!$A$2:$A$543,$A118,funnel_events_sample!$B$2:$B$543,"signup_started"))</f>
        <v>46223.165972222225</v>
      </c>
      <c r="D118" s="9" t="str">
        <f>IF(COUNTIFS(funnel_events_sample!$A$2:$A$543,$A118,funnel_events_sample!$B$2:$B$543,"details_filled")=0,"",_xlfn.MINIFS(funnel_events_sample!$C$2:$C$543,funnel_events_sample!$A$2:$A$543,$A118,funnel_events_sample!$B$2:$B$543,"details_filled"))</f>
        <v/>
      </c>
      <c r="E118" s="9" t="str">
        <f>IF(COUNTIFS(funnel_events_sample!$A$2:$A$543,$A118,funnel_events_sample!$B$2:$B$543,"email_verified")=0,"",_xlfn.MINIFS(funnel_events_sample!$C$2:$C$543,funnel_events_sample!$A$2:$A$543,$A118,funnel_events_sample!$B$2:$B$543,"email_verified"))</f>
        <v/>
      </c>
      <c r="F118" s="9">
        <f>IF(COUNTIFS(funnel_events_sample!$A$2:$A$543,$A118,funnel_events_sample!$B$2:$B$543,"purchase_completed")=0,"",_xlfn.MINIFS(funnel_events_sample!$C$2:$C$543,funnel_events_sample!$A$2:$A$543,$A118,funnel_events_sample!$B$2:$B$543,"purchase_completed"))</f>
        <v>46223.212500000001</v>
      </c>
      <c r="G118" s="11">
        <f t="shared" si="4"/>
        <v>1.4583333337213844E-2</v>
      </c>
      <c r="H118" s="11" t="str">
        <f t="shared" si="5"/>
        <v/>
      </c>
      <c r="I118" s="11" t="str">
        <f t="shared" si="6"/>
        <v/>
      </c>
      <c r="J118" s="11" t="str">
        <f t="shared" si="7"/>
        <v/>
      </c>
    </row>
    <row r="119" spans="1:10">
      <c r="A119" s="3" t="s">
        <v>108</v>
      </c>
      <c r="B119" s="9">
        <f>IF(COUNTIFS(funnel_events_sample!$A$2:$A$543,$A119,funnel_events_sample!$B$2:$B$543,"visited_site")=0,"",_xlfn.MINIFS(funnel_events_sample!$C$2:$C$543,funnel_events_sample!$A$2:$A$543,$A119,funnel_events_sample!$B$2:$B$543,"visited_site"))</f>
        <v>46223.162499999999</v>
      </c>
      <c r="C119" s="9">
        <f>IF(COUNTIFS(funnel_events_sample!$A$2:$A$543,$A119,funnel_events_sample!$B$2:$B$543,"signup_started")=0,"",_xlfn.MINIFS(funnel_events_sample!$C$2:$C$543,funnel_events_sample!$A$2:$A$543,$A119,funnel_events_sample!$B$2:$B$543,"signup_started"))</f>
        <v>46223.15625</v>
      </c>
      <c r="D119" s="9" t="str">
        <f>IF(COUNTIFS(funnel_events_sample!$A$2:$A$543,$A119,funnel_events_sample!$B$2:$B$543,"details_filled")=0,"",_xlfn.MINIFS(funnel_events_sample!$C$2:$C$543,funnel_events_sample!$A$2:$A$543,$A119,funnel_events_sample!$B$2:$B$543,"details_filled"))</f>
        <v/>
      </c>
      <c r="E119" s="9" t="str">
        <f>IF(COUNTIFS(funnel_events_sample!$A$2:$A$543,$A119,funnel_events_sample!$B$2:$B$543,"email_verified")=0,"",_xlfn.MINIFS(funnel_events_sample!$C$2:$C$543,funnel_events_sample!$A$2:$A$543,$A119,funnel_events_sample!$B$2:$B$543,"email_verified"))</f>
        <v/>
      </c>
      <c r="F119" s="9">
        <f>IF(COUNTIFS(funnel_events_sample!$A$2:$A$543,$A119,funnel_events_sample!$B$2:$B$543,"purchase_completed")=0,"",_xlfn.MINIFS(funnel_events_sample!$C$2:$C$543,funnel_events_sample!$A$2:$A$543,$A119,funnel_events_sample!$B$2:$B$543,"purchase_completed"))</f>
        <v>46223.194444444445</v>
      </c>
      <c r="G119" s="11" t="str">
        <f t="shared" si="4"/>
        <v/>
      </c>
      <c r="H119" s="11" t="str">
        <f t="shared" si="5"/>
        <v/>
      </c>
      <c r="I119" s="11" t="str">
        <f t="shared" si="6"/>
        <v/>
      </c>
      <c r="J119" s="11" t="str">
        <f t="shared" si="7"/>
        <v/>
      </c>
    </row>
    <row r="120" spans="1:10">
      <c r="A120" s="3" t="s">
        <v>135</v>
      </c>
      <c r="B120" s="9">
        <f>IF(COUNTIFS(funnel_events_sample!$A$2:$A$543,$A120,funnel_events_sample!$B$2:$B$543,"visited_site")=0,"",_xlfn.MINIFS(funnel_events_sample!$C$2:$C$543,funnel_events_sample!$A$2:$A$543,$A120,funnel_events_sample!$B$2:$B$543,"visited_site"))</f>
        <v>46223.15902777778</v>
      </c>
      <c r="C120" s="9">
        <f>IF(COUNTIFS(funnel_events_sample!$A$2:$A$543,$A120,funnel_events_sample!$B$2:$B$543,"signup_started")=0,"",_xlfn.MINIFS(funnel_events_sample!$C$2:$C$543,funnel_events_sample!$A$2:$A$543,$A120,funnel_events_sample!$B$2:$B$543,"signup_started"))</f>
        <v>46223.181944444441</v>
      </c>
      <c r="D120" s="9" t="str">
        <f>IF(COUNTIFS(funnel_events_sample!$A$2:$A$543,$A120,funnel_events_sample!$B$2:$B$543,"details_filled")=0,"",_xlfn.MINIFS(funnel_events_sample!$C$2:$C$543,funnel_events_sample!$A$2:$A$543,$A120,funnel_events_sample!$B$2:$B$543,"details_filled"))</f>
        <v/>
      </c>
      <c r="E120" s="9" t="str">
        <f>IF(COUNTIFS(funnel_events_sample!$A$2:$A$543,$A120,funnel_events_sample!$B$2:$B$543,"email_verified")=0,"",_xlfn.MINIFS(funnel_events_sample!$C$2:$C$543,funnel_events_sample!$A$2:$A$543,$A120,funnel_events_sample!$B$2:$B$543,"email_verified"))</f>
        <v/>
      </c>
      <c r="F120" s="9">
        <f>IF(COUNTIFS(funnel_events_sample!$A$2:$A$543,$A120,funnel_events_sample!$B$2:$B$543,"purchase_completed")=0,"",_xlfn.MINIFS(funnel_events_sample!$C$2:$C$543,funnel_events_sample!$A$2:$A$543,$A120,funnel_events_sample!$B$2:$B$543,"purchase_completed"))</f>
        <v>46223.198611111111</v>
      </c>
      <c r="G120" s="11">
        <f t="shared" si="4"/>
        <v>2.2916666661330964E-2</v>
      </c>
      <c r="H120" s="11" t="str">
        <f t="shared" si="5"/>
        <v/>
      </c>
      <c r="I120" s="11" t="str">
        <f t="shared" si="6"/>
        <v/>
      </c>
      <c r="J120" s="11" t="str">
        <f t="shared" si="7"/>
        <v/>
      </c>
    </row>
    <row r="121" spans="1:10">
      <c r="A121" s="3" t="s">
        <v>87</v>
      </c>
      <c r="B121" s="9">
        <f>IF(COUNTIFS(funnel_events_sample!$A$2:$A$543,$A121,funnel_events_sample!$B$2:$B$543,"visited_site")=0,"",_xlfn.MINIFS(funnel_events_sample!$C$2:$C$543,funnel_events_sample!$A$2:$A$543,$A121,funnel_events_sample!$B$2:$B$543,"visited_site"))</f>
        <v>46223.151388888888</v>
      </c>
      <c r="C121" s="9">
        <f>IF(COUNTIFS(funnel_events_sample!$A$2:$A$543,$A121,funnel_events_sample!$B$2:$B$543,"signup_started")=0,"",_xlfn.MINIFS(funnel_events_sample!$C$2:$C$543,funnel_events_sample!$A$2:$A$543,$A121,funnel_events_sample!$B$2:$B$543,"signup_started"))</f>
        <v>46223.164583333331</v>
      </c>
      <c r="D121" s="9" t="str">
        <f>IF(COUNTIFS(funnel_events_sample!$A$2:$A$543,$A121,funnel_events_sample!$B$2:$B$543,"details_filled")=0,"",_xlfn.MINIFS(funnel_events_sample!$C$2:$C$543,funnel_events_sample!$A$2:$A$543,$A121,funnel_events_sample!$B$2:$B$543,"details_filled"))</f>
        <v/>
      </c>
      <c r="E121" s="9" t="str">
        <f>IF(COUNTIFS(funnel_events_sample!$A$2:$A$543,$A121,funnel_events_sample!$B$2:$B$543,"email_verified")=0,"",_xlfn.MINIFS(funnel_events_sample!$C$2:$C$543,funnel_events_sample!$A$2:$A$543,$A121,funnel_events_sample!$B$2:$B$543,"email_verified"))</f>
        <v/>
      </c>
      <c r="F121" s="9">
        <f>IF(COUNTIFS(funnel_events_sample!$A$2:$A$543,$A121,funnel_events_sample!$B$2:$B$543,"purchase_completed")=0,"",_xlfn.MINIFS(funnel_events_sample!$C$2:$C$543,funnel_events_sample!$A$2:$A$543,$A121,funnel_events_sample!$B$2:$B$543,"purchase_completed"))</f>
        <v>46223.191666666666</v>
      </c>
      <c r="G121" s="11">
        <f t="shared" si="4"/>
        <v>1.3194444443797693E-2</v>
      </c>
      <c r="H121" s="11" t="str">
        <f t="shared" si="5"/>
        <v/>
      </c>
      <c r="I121" s="11" t="str">
        <f t="shared" si="6"/>
        <v/>
      </c>
      <c r="J121" s="11" t="str">
        <f t="shared" si="7"/>
        <v/>
      </c>
    </row>
    <row r="122" spans="1:10">
      <c r="A122" s="3" t="s">
        <v>94</v>
      </c>
      <c r="B122" s="9">
        <f>IF(COUNTIFS(funnel_events_sample!$A$2:$A$543,$A122,funnel_events_sample!$B$2:$B$543,"visited_site")=0,"",_xlfn.MINIFS(funnel_events_sample!$C$2:$C$543,funnel_events_sample!$A$2:$A$543,$A122,funnel_events_sample!$B$2:$B$543,"visited_site"))</f>
        <v>46223.154166666667</v>
      </c>
      <c r="C122" s="9">
        <f>IF(COUNTIFS(funnel_events_sample!$A$2:$A$543,$A122,funnel_events_sample!$B$2:$B$543,"signup_started")=0,"",_xlfn.MINIFS(funnel_events_sample!$C$2:$C$543,funnel_events_sample!$A$2:$A$543,$A122,funnel_events_sample!$B$2:$B$543,"signup_started"))</f>
        <v>46223.167361111111</v>
      </c>
      <c r="D122" s="9" t="str">
        <f>IF(COUNTIFS(funnel_events_sample!$A$2:$A$543,$A122,funnel_events_sample!$B$2:$B$543,"details_filled")=0,"",_xlfn.MINIFS(funnel_events_sample!$C$2:$C$543,funnel_events_sample!$A$2:$A$543,$A122,funnel_events_sample!$B$2:$B$543,"details_filled"))</f>
        <v/>
      </c>
      <c r="E122" s="9" t="str">
        <f>IF(COUNTIFS(funnel_events_sample!$A$2:$A$543,$A122,funnel_events_sample!$B$2:$B$543,"email_verified")=0,"",_xlfn.MINIFS(funnel_events_sample!$C$2:$C$543,funnel_events_sample!$A$2:$A$543,$A122,funnel_events_sample!$B$2:$B$543,"email_verified"))</f>
        <v/>
      </c>
      <c r="F122" s="9">
        <f>IF(COUNTIFS(funnel_events_sample!$A$2:$A$543,$A122,funnel_events_sample!$B$2:$B$543,"purchase_completed")=0,"",_xlfn.MINIFS(funnel_events_sample!$C$2:$C$543,funnel_events_sample!$A$2:$A$543,$A122,funnel_events_sample!$B$2:$B$543,"purchase_completed"))</f>
        <v>46223.213194444441</v>
      </c>
      <c r="G122" s="11">
        <f t="shared" si="4"/>
        <v>1.3194444443797693E-2</v>
      </c>
      <c r="H122" s="11" t="str">
        <f t="shared" si="5"/>
        <v/>
      </c>
      <c r="I122" s="11" t="str">
        <f t="shared" si="6"/>
        <v/>
      </c>
      <c r="J122" s="11" t="str">
        <f t="shared" si="7"/>
        <v/>
      </c>
    </row>
    <row r="123" spans="1:10">
      <c r="A123" s="3" t="s">
        <v>76</v>
      </c>
      <c r="B123" s="9">
        <f>IF(COUNTIFS(funnel_events_sample!$A$2:$A$543,$A123,funnel_events_sample!$B$2:$B$543,"visited_site")=0,"",_xlfn.MINIFS(funnel_events_sample!$C$2:$C$543,funnel_events_sample!$A$2:$A$543,$A123,funnel_events_sample!$B$2:$B$543,"visited_site"))</f>
        <v>46223.157638888886</v>
      </c>
      <c r="C123" s="9">
        <f>IF(COUNTIFS(funnel_events_sample!$A$2:$A$543,$A123,funnel_events_sample!$B$2:$B$543,"signup_started")=0,"",_xlfn.MINIFS(funnel_events_sample!$C$2:$C$543,funnel_events_sample!$A$2:$A$543,$A123,funnel_events_sample!$B$2:$B$543,"signup_started"))</f>
        <v>46223.163194444445</v>
      </c>
      <c r="D123" s="9" t="str">
        <f>IF(COUNTIFS(funnel_events_sample!$A$2:$A$543,$A123,funnel_events_sample!$B$2:$B$543,"details_filled")=0,"",_xlfn.MINIFS(funnel_events_sample!$C$2:$C$543,funnel_events_sample!$A$2:$A$543,$A123,funnel_events_sample!$B$2:$B$543,"details_filled"))</f>
        <v/>
      </c>
      <c r="E123" s="9" t="str">
        <f>IF(COUNTIFS(funnel_events_sample!$A$2:$A$543,$A123,funnel_events_sample!$B$2:$B$543,"email_verified")=0,"",_xlfn.MINIFS(funnel_events_sample!$C$2:$C$543,funnel_events_sample!$A$2:$A$543,$A123,funnel_events_sample!$B$2:$B$543,"email_verified"))</f>
        <v/>
      </c>
      <c r="F123" s="9">
        <f>IF(COUNTIFS(funnel_events_sample!$A$2:$A$543,$A123,funnel_events_sample!$B$2:$B$543,"purchase_completed")=0,"",_xlfn.MINIFS(funnel_events_sample!$C$2:$C$543,funnel_events_sample!$A$2:$A$543,$A123,funnel_events_sample!$B$2:$B$543,"purchase_completed"))</f>
        <v>46223.203472222223</v>
      </c>
      <c r="G123" s="11">
        <f t="shared" si="4"/>
        <v>5.5555555591126904E-3</v>
      </c>
      <c r="H123" s="11" t="str">
        <f t="shared" si="5"/>
        <v/>
      </c>
      <c r="I123" s="11" t="str">
        <f t="shared" si="6"/>
        <v/>
      </c>
      <c r="J123" s="11" t="str">
        <f t="shared" si="7"/>
        <v/>
      </c>
    </row>
    <row r="124" spans="1:10">
      <c r="A124" s="3" t="s">
        <v>114</v>
      </c>
      <c r="B124" s="9">
        <f>IF(COUNTIFS(funnel_events_sample!$A$2:$A$543,$A124,funnel_events_sample!$B$2:$B$543,"visited_site")=0,"",_xlfn.MINIFS(funnel_events_sample!$C$2:$C$543,funnel_events_sample!$A$2:$A$543,$A124,funnel_events_sample!$B$2:$B$543,"visited_site"))</f>
        <v>46223.150694444441</v>
      </c>
      <c r="C124" s="9">
        <f>IF(COUNTIFS(funnel_events_sample!$A$2:$A$543,$A124,funnel_events_sample!$B$2:$B$543,"signup_started")=0,"",_xlfn.MINIFS(funnel_events_sample!$C$2:$C$543,funnel_events_sample!$A$2:$A$543,$A124,funnel_events_sample!$B$2:$B$543,"signup_started"))</f>
        <v>46223.170138888891</v>
      </c>
      <c r="D124" s="9" t="str">
        <f>IF(COUNTIFS(funnel_events_sample!$A$2:$A$543,$A124,funnel_events_sample!$B$2:$B$543,"details_filled")=0,"",_xlfn.MINIFS(funnel_events_sample!$C$2:$C$543,funnel_events_sample!$A$2:$A$543,$A124,funnel_events_sample!$B$2:$B$543,"details_filled"))</f>
        <v/>
      </c>
      <c r="E124" s="9" t="str">
        <f>IF(COUNTIFS(funnel_events_sample!$A$2:$A$543,$A124,funnel_events_sample!$B$2:$B$543,"email_verified")=0,"",_xlfn.MINIFS(funnel_events_sample!$C$2:$C$543,funnel_events_sample!$A$2:$A$543,$A124,funnel_events_sample!$B$2:$B$543,"email_verified"))</f>
        <v/>
      </c>
      <c r="F124" s="9">
        <f>IF(COUNTIFS(funnel_events_sample!$A$2:$A$543,$A124,funnel_events_sample!$B$2:$B$543,"purchase_completed")=0,"",_xlfn.MINIFS(funnel_events_sample!$C$2:$C$543,funnel_events_sample!$A$2:$A$543,$A124,funnel_events_sample!$B$2:$B$543,"purchase_completed"))</f>
        <v>46223.189583333333</v>
      </c>
      <c r="G124" s="11">
        <f t="shared" si="4"/>
        <v>1.9444444449618459E-2</v>
      </c>
      <c r="H124" s="11" t="str">
        <f t="shared" si="5"/>
        <v/>
      </c>
      <c r="I124" s="11" t="str">
        <f t="shared" si="6"/>
        <v/>
      </c>
      <c r="J124" s="11" t="str">
        <f t="shared" si="7"/>
        <v/>
      </c>
    </row>
    <row r="125" spans="1:10">
      <c r="A125" s="3" t="s">
        <v>165</v>
      </c>
      <c r="B125" s="9">
        <f>IF(COUNTIFS(funnel_events_sample!$A$2:$A$543,$A125,funnel_events_sample!$B$2:$B$543,"visited_site")=0,"",_xlfn.MINIFS(funnel_events_sample!$C$2:$C$543,funnel_events_sample!$A$2:$A$543,$A125,funnel_events_sample!$B$2:$B$543,"visited_site"))</f>
        <v>46223.163194444445</v>
      </c>
      <c r="C125" s="9">
        <f>IF(COUNTIFS(funnel_events_sample!$A$2:$A$543,$A125,funnel_events_sample!$B$2:$B$543,"signup_started")=0,"",_xlfn.MINIFS(funnel_events_sample!$C$2:$C$543,funnel_events_sample!$A$2:$A$543,$A125,funnel_events_sample!$B$2:$B$543,"signup_started"))</f>
        <v>46223.177083333336</v>
      </c>
      <c r="D125" s="9" t="str">
        <f>IF(COUNTIFS(funnel_events_sample!$A$2:$A$543,$A125,funnel_events_sample!$B$2:$B$543,"details_filled")=0,"",_xlfn.MINIFS(funnel_events_sample!$C$2:$C$543,funnel_events_sample!$A$2:$A$543,$A125,funnel_events_sample!$B$2:$B$543,"details_filled"))</f>
        <v/>
      </c>
      <c r="E125" s="9" t="str">
        <f>IF(COUNTIFS(funnel_events_sample!$A$2:$A$543,$A125,funnel_events_sample!$B$2:$B$543,"email_verified")=0,"",_xlfn.MINIFS(funnel_events_sample!$C$2:$C$543,funnel_events_sample!$A$2:$A$543,$A125,funnel_events_sample!$B$2:$B$543,"email_verified"))</f>
        <v/>
      </c>
      <c r="F125" s="9">
        <f>IF(COUNTIFS(funnel_events_sample!$A$2:$A$543,$A125,funnel_events_sample!$B$2:$B$543,"purchase_completed")=0,"",_xlfn.MINIFS(funnel_events_sample!$C$2:$C$543,funnel_events_sample!$A$2:$A$543,$A125,funnel_events_sample!$B$2:$B$543,"purchase_completed"))</f>
        <v>46223.213888888888</v>
      </c>
      <c r="G125" s="11">
        <f t="shared" si="4"/>
        <v>1.3888888890505768E-2</v>
      </c>
      <c r="H125" s="11" t="str">
        <f t="shared" si="5"/>
        <v/>
      </c>
      <c r="I125" s="11" t="str">
        <f t="shared" si="6"/>
        <v/>
      </c>
      <c r="J125" s="11" t="str">
        <f t="shared" si="7"/>
        <v/>
      </c>
    </row>
    <row r="126" spans="1:10">
      <c r="A126" s="3" t="s">
        <v>49</v>
      </c>
      <c r="B126" s="9">
        <f>IF(COUNTIFS(funnel_events_sample!$A$2:$A$543,$A126,funnel_events_sample!$B$2:$B$543,"visited_site")=0,"",_xlfn.MINIFS(funnel_events_sample!$C$2:$C$543,funnel_events_sample!$A$2:$A$543,$A126,funnel_events_sample!$B$2:$B$543,"visited_site"))</f>
        <v>46223.146527777775</v>
      </c>
      <c r="C126" s="9">
        <f>IF(COUNTIFS(funnel_events_sample!$A$2:$A$543,$A126,funnel_events_sample!$B$2:$B$543,"signup_started")=0,"",_xlfn.MINIFS(funnel_events_sample!$C$2:$C$543,funnel_events_sample!$A$2:$A$543,$A126,funnel_events_sample!$B$2:$B$543,"signup_started"))</f>
        <v>46223.177083333336</v>
      </c>
      <c r="D126" s="9" t="str">
        <f>IF(COUNTIFS(funnel_events_sample!$A$2:$A$543,$A126,funnel_events_sample!$B$2:$B$543,"details_filled")=0,"",_xlfn.MINIFS(funnel_events_sample!$C$2:$C$543,funnel_events_sample!$A$2:$A$543,$A126,funnel_events_sample!$B$2:$B$543,"details_filled"))</f>
        <v/>
      </c>
      <c r="E126" s="9" t="str">
        <f>IF(COUNTIFS(funnel_events_sample!$A$2:$A$543,$A126,funnel_events_sample!$B$2:$B$543,"email_verified")=0,"",_xlfn.MINIFS(funnel_events_sample!$C$2:$C$543,funnel_events_sample!$A$2:$A$543,$A126,funnel_events_sample!$B$2:$B$543,"email_verified"))</f>
        <v/>
      </c>
      <c r="F126" s="9">
        <f>IF(COUNTIFS(funnel_events_sample!$A$2:$A$543,$A126,funnel_events_sample!$B$2:$B$543,"purchase_completed")=0,"",_xlfn.MINIFS(funnel_events_sample!$C$2:$C$543,funnel_events_sample!$A$2:$A$543,$A126,funnel_events_sample!$B$2:$B$543,"purchase_completed"))</f>
        <v>46223.205555555556</v>
      </c>
      <c r="G126" s="11">
        <f t="shared" si="4"/>
        <v>3.0555555560567882E-2</v>
      </c>
      <c r="H126" s="11" t="str">
        <f t="shared" si="5"/>
        <v/>
      </c>
      <c r="I126" s="11" t="str">
        <f t="shared" si="6"/>
        <v/>
      </c>
      <c r="J126" s="11" t="str">
        <f t="shared" si="7"/>
        <v/>
      </c>
    </row>
    <row r="127" spans="1:10">
      <c r="A127" s="3" t="s">
        <v>177</v>
      </c>
      <c r="B127" s="9">
        <f>IF(COUNTIFS(funnel_events_sample!$A$2:$A$543,$A127,funnel_events_sample!$B$2:$B$543,"visited_site")=0,"",_xlfn.MINIFS(funnel_events_sample!$C$2:$C$543,funnel_events_sample!$A$2:$A$543,$A127,funnel_events_sample!$B$2:$B$543,"visited_site"))</f>
        <v>46223.154861111114</v>
      </c>
      <c r="C127" s="9">
        <f>IF(COUNTIFS(funnel_events_sample!$A$2:$A$543,$A127,funnel_events_sample!$B$2:$B$543,"signup_started")=0,"",_xlfn.MINIFS(funnel_events_sample!$C$2:$C$543,funnel_events_sample!$A$2:$A$543,$A127,funnel_events_sample!$B$2:$B$543,"signup_started"))</f>
        <v>46223.181944444441</v>
      </c>
      <c r="D127" s="9" t="str">
        <f>IF(COUNTIFS(funnel_events_sample!$A$2:$A$543,$A127,funnel_events_sample!$B$2:$B$543,"details_filled")=0,"",_xlfn.MINIFS(funnel_events_sample!$C$2:$C$543,funnel_events_sample!$A$2:$A$543,$A127,funnel_events_sample!$B$2:$B$543,"details_filled"))</f>
        <v/>
      </c>
      <c r="E127" s="9" t="str">
        <f>IF(COUNTIFS(funnel_events_sample!$A$2:$A$543,$A127,funnel_events_sample!$B$2:$B$543,"email_verified")=0,"",_xlfn.MINIFS(funnel_events_sample!$C$2:$C$543,funnel_events_sample!$A$2:$A$543,$A127,funnel_events_sample!$B$2:$B$543,"email_verified"))</f>
        <v/>
      </c>
      <c r="F127" s="9">
        <f>IF(COUNTIFS(funnel_events_sample!$A$2:$A$543,$A127,funnel_events_sample!$B$2:$B$543,"purchase_completed")=0,"",_xlfn.MINIFS(funnel_events_sample!$C$2:$C$543,funnel_events_sample!$A$2:$A$543,$A127,funnel_events_sample!$B$2:$B$543,"purchase_completed"))</f>
        <v>46223.201388888891</v>
      </c>
      <c r="G127" s="11">
        <f t="shared" si="4"/>
        <v>2.7083333327027503E-2</v>
      </c>
      <c r="H127" s="11" t="str">
        <f t="shared" si="5"/>
        <v/>
      </c>
      <c r="I127" s="11" t="str">
        <f t="shared" si="6"/>
        <v/>
      </c>
      <c r="J127" s="11" t="str">
        <f t="shared" si="7"/>
        <v/>
      </c>
    </row>
    <row r="128" spans="1:10">
      <c r="A128" s="3" t="s">
        <v>129</v>
      </c>
      <c r="B128" s="9">
        <f>IF(COUNTIFS(funnel_events_sample!$A$2:$A$543,$A128,funnel_events_sample!$B$2:$B$543,"visited_site")=0,"",_xlfn.MINIFS(funnel_events_sample!$C$2:$C$543,funnel_events_sample!$A$2:$A$543,$A128,funnel_events_sample!$B$2:$B$543,"visited_site"))</f>
        <v>46223.15347222222</v>
      </c>
      <c r="C128" s="9">
        <f>IF(COUNTIFS(funnel_events_sample!$A$2:$A$543,$A128,funnel_events_sample!$B$2:$B$543,"signup_started")=0,"",_xlfn.MINIFS(funnel_events_sample!$C$2:$C$543,funnel_events_sample!$A$2:$A$543,$A128,funnel_events_sample!$B$2:$B$543,"signup_started"))</f>
        <v>46223.178472222222</v>
      </c>
      <c r="D128" s="9" t="str">
        <f>IF(COUNTIFS(funnel_events_sample!$A$2:$A$543,$A128,funnel_events_sample!$B$2:$B$543,"details_filled")=0,"",_xlfn.MINIFS(funnel_events_sample!$C$2:$C$543,funnel_events_sample!$A$2:$A$543,$A128,funnel_events_sample!$B$2:$B$543,"details_filled"))</f>
        <v/>
      </c>
      <c r="E128" s="9" t="str">
        <f>IF(COUNTIFS(funnel_events_sample!$A$2:$A$543,$A128,funnel_events_sample!$B$2:$B$543,"email_verified")=0,"",_xlfn.MINIFS(funnel_events_sample!$C$2:$C$543,funnel_events_sample!$A$2:$A$543,$A128,funnel_events_sample!$B$2:$B$543,"email_verified"))</f>
        <v/>
      </c>
      <c r="F128" s="9">
        <f>IF(COUNTIFS(funnel_events_sample!$A$2:$A$543,$A128,funnel_events_sample!$B$2:$B$543,"purchase_completed")=0,"",_xlfn.MINIFS(funnel_events_sample!$C$2:$C$543,funnel_events_sample!$A$2:$A$543,$A128,funnel_events_sample!$B$2:$B$543,"purchase_completed"))</f>
        <v>46223.213194444441</v>
      </c>
      <c r="G128" s="11">
        <f t="shared" si="4"/>
        <v>2.5000000001455192E-2</v>
      </c>
      <c r="H128" s="11" t="str">
        <f t="shared" si="5"/>
        <v/>
      </c>
      <c r="I128" s="11" t="str">
        <f t="shared" si="6"/>
        <v/>
      </c>
      <c r="J128" s="11" t="str">
        <f t="shared" si="7"/>
        <v/>
      </c>
    </row>
    <row r="129" spans="1:10">
      <c r="A129" s="3" t="s">
        <v>124</v>
      </c>
      <c r="B129" s="9">
        <f>IF(COUNTIFS(funnel_events_sample!$A$2:$A$543,$A129,funnel_events_sample!$B$2:$B$543,"visited_site")=0,"",_xlfn.MINIFS(funnel_events_sample!$C$2:$C$543,funnel_events_sample!$A$2:$A$543,$A129,funnel_events_sample!$B$2:$B$543,"visited_site"))</f>
        <v>46223.17083333333</v>
      </c>
      <c r="C129" s="9">
        <f>IF(COUNTIFS(funnel_events_sample!$A$2:$A$543,$A129,funnel_events_sample!$B$2:$B$543,"signup_started")=0,"",_xlfn.MINIFS(funnel_events_sample!$C$2:$C$543,funnel_events_sample!$A$2:$A$543,$A129,funnel_events_sample!$B$2:$B$543,"signup_started"))</f>
        <v>46223.175694444442</v>
      </c>
      <c r="D129" s="9" t="str">
        <f>IF(COUNTIFS(funnel_events_sample!$A$2:$A$543,$A129,funnel_events_sample!$B$2:$B$543,"details_filled")=0,"",_xlfn.MINIFS(funnel_events_sample!$C$2:$C$543,funnel_events_sample!$A$2:$A$543,$A129,funnel_events_sample!$B$2:$B$543,"details_filled"))</f>
        <v/>
      </c>
      <c r="E129" s="9" t="str">
        <f>IF(COUNTIFS(funnel_events_sample!$A$2:$A$543,$A129,funnel_events_sample!$B$2:$B$543,"email_verified")=0,"",_xlfn.MINIFS(funnel_events_sample!$C$2:$C$543,funnel_events_sample!$A$2:$A$543,$A129,funnel_events_sample!$B$2:$B$543,"email_verified"))</f>
        <v/>
      </c>
      <c r="F129" s="9">
        <f>IF(COUNTIFS(funnel_events_sample!$A$2:$A$543,$A129,funnel_events_sample!$B$2:$B$543,"purchase_completed")=0,"",_xlfn.MINIFS(funnel_events_sample!$C$2:$C$543,funnel_events_sample!$A$2:$A$543,$A129,funnel_events_sample!$B$2:$B$543,"purchase_completed"))</f>
        <v>46223.206250000003</v>
      </c>
      <c r="G129" s="11">
        <f t="shared" si="4"/>
        <v>4.8611111124046147E-3</v>
      </c>
      <c r="H129" s="11" t="str">
        <f t="shared" si="5"/>
        <v/>
      </c>
      <c r="I129" s="11" t="str">
        <f t="shared" si="6"/>
        <v/>
      </c>
      <c r="J129" s="11" t="str">
        <f t="shared" si="7"/>
        <v/>
      </c>
    </row>
    <row r="130" spans="1:10">
      <c r="A130" s="3" t="s">
        <v>197</v>
      </c>
      <c r="B130" s="9">
        <f>IF(COUNTIFS(funnel_events_sample!$A$2:$A$543,$A130,funnel_events_sample!$B$2:$B$543,"visited_site")=0,"",_xlfn.MINIFS(funnel_events_sample!$C$2:$C$543,funnel_events_sample!$A$2:$A$543,$A130,funnel_events_sample!$B$2:$B$543,"visited_site"))</f>
        <v>46223.148611111108</v>
      </c>
      <c r="C130" s="9">
        <f>IF(COUNTIFS(funnel_events_sample!$A$2:$A$543,$A130,funnel_events_sample!$B$2:$B$543,"signup_started")=0,"",_xlfn.MINIFS(funnel_events_sample!$C$2:$C$543,funnel_events_sample!$A$2:$A$543,$A130,funnel_events_sample!$B$2:$B$543,"signup_started"))</f>
        <v>46223.182638888888</v>
      </c>
      <c r="D130" s="9" t="str">
        <f>IF(COUNTIFS(funnel_events_sample!$A$2:$A$543,$A130,funnel_events_sample!$B$2:$B$543,"details_filled")=0,"",_xlfn.MINIFS(funnel_events_sample!$C$2:$C$543,funnel_events_sample!$A$2:$A$543,$A130,funnel_events_sample!$B$2:$B$543,"details_filled"))</f>
        <v/>
      </c>
      <c r="E130" s="9" t="str">
        <f>IF(COUNTIFS(funnel_events_sample!$A$2:$A$543,$A130,funnel_events_sample!$B$2:$B$543,"email_verified")=0,"",_xlfn.MINIFS(funnel_events_sample!$C$2:$C$543,funnel_events_sample!$A$2:$A$543,$A130,funnel_events_sample!$B$2:$B$543,"email_verified"))</f>
        <v/>
      </c>
      <c r="F130" s="9">
        <f>IF(COUNTIFS(funnel_events_sample!$A$2:$A$543,$A130,funnel_events_sample!$B$2:$B$543,"purchase_completed")=0,"",_xlfn.MINIFS(funnel_events_sample!$C$2:$C$543,funnel_events_sample!$A$2:$A$543,$A130,funnel_events_sample!$B$2:$B$543,"purchase_completed"))</f>
        <v>46223.196527777778</v>
      </c>
      <c r="G130" s="11">
        <f t="shared" si="4"/>
        <v>3.4027777779556345E-2</v>
      </c>
      <c r="H130" s="11" t="str">
        <f t="shared" si="5"/>
        <v/>
      </c>
      <c r="I130" s="11" t="str">
        <f t="shared" si="6"/>
        <v/>
      </c>
      <c r="J130" s="11" t="str">
        <f t="shared" si="7"/>
        <v/>
      </c>
    </row>
    <row r="131" spans="1:10">
      <c r="A131" s="3" t="s">
        <v>201</v>
      </c>
      <c r="B131" s="9">
        <f>IF(COUNTIFS(funnel_events_sample!$A$2:$A$543,$A131,funnel_events_sample!$B$2:$B$543,"visited_site")=0,"",_xlfn.MINIFS(funnel_events_sample!$C$2:$C$543,funnel_events_sample!$A$2:$A$543,$A131,funnel_events_sample!$B$2:$B$543,"visited_site"))</f>
        <v>46223.169444444444</v>
      </c>
      <c r="C131" s="9">
        <f>IF(COUNTIFS(funnel_events_sample!$A$2:$A$543,$A131,funnel_events_sample!$B$2:$B$543,"signup_started")=0,"",_xlfn.MINIFS(funnel_events_sample!$C$2:$C$543,funnel_events_sample!$A$2:$A$543,$A131,funnel_events_sample!$B$2:$B$543,"signup_started"))</f>
        <v>46223.177083333336</v>
      </c>
      <c r="D131" s="9" t="str">
        <f>IF(COUNTIFS(funnel_events_sample!$A$2:$A$543,$A131,funnel_events_sample!$B$2:$B$543,"details_filled")=0,"",_xlfn.MINIFS(funnel_events_sample!$C$2:$C$543,funnel_events_sample!$A$2:$A$543,$A131,funnel_events_sample!$B$2:$B$543,"details_filled"))</f>
        <v/>
      </c>
      <c r="E131" s="9" t="str">
        <f>IF(COUNTIFS(funnel_events_sample!$A$2:$A$543,$A131,funnel_events_sample!$B$2:$B$543,"email_verified")=0,"",_xlfn.MINIFS(funnel_events_sample!$C$2:$C$543,funnel_events_sample!$A$2:$A$543,$A131,funnel_events_sample!$B$2:$B$543,"email_verified"))</f>
        <v/>
      </c>
      <c r="F131" s="9">
        <f>IF(COUNTIFS(funnel_events_sample!$A$2:$A$543,$A131,funnel_events_sample!$B$2:$B$543,"purchase_completed")=0,"",_xlfn.MINIFS(funnel_events_sample!$C$2:$C$543,funnel_events_sample!$A$2:$A$543,$A131,funnel_events_sample!$B$2:$B$543,"purchase_completed"))</f>
        <v>46223.207638888889</v>
      </c>
      <c r="G131" s="11">
        <f t="shared" ref="G131:G194" si="8">IF(OR(B131="",C131="",C131&lt;B131),"",C131-B131)</f>
        <v>7.6388888919609599E-3</v>
      </c>
      <c r="H131" s="11" t="str">
        <f t="shared" ref="H131:H194" si="9">IF(OR(C131="",D131="",D131&lt;C131),"",D131-C131)</f>
        <v/>
      </c>
      <c r="I131" s="11" t="str">
        <f t="shared" ref="I131:I194" si="10">IF(OR(D131="",E131="",E131&lt;D131),"",E131-D131)</f>
        <v/>
      </c>
      <c r="J131" s="11" t="str">
        <f t="shared" ref="J131:J194" si="11">IF(OR(E131="",F131="",F131&lt;E131),"",F131-E131)</f>
        <v/>
      </c>
    </row>
    <row r="132" spans="1:10">
      <c r="A132" s="3" t="s">
        <v>194</v>
      </c>
      <c r="B132" s="9">
        <f>IF(COUNTIFS(funnel_events_sample!$A$2:$A$543,$A132,funnel_events_sample!$B$2:$B$543,"visited_site")=0,"",_xlfn.MINIFS(funnel_events_sample!$C$2:$C$543,funnel_events_sample!$A$2:$A$543,$A132,funnel_events_sample!$B$2:$B$543,"visited_site"))</f>
        <v>46223.159722222219</v>
      </c>
      <c r="C132" s="9">
        <f>IF(COUNTIFS(funnel_events_sample!$A$2:$A$543,$A132,funnel_events_sample!$B$2:$B$543,"signup_started")=0,"",_xlfn.MINIFS(funnel_events_sample!$C$2:$C$543,funnel_events_sample!$A$2:$A$543,$A132,funnel_events_sample!$B$2:$B$543,"signup_started"))</f>
        <v>46223.180555555555</v>
      </c>
      <c r="D132" s="9" t="str">
        <f>IF(COUNTIFS(funnel_events_sample!$A$2:$A$543,$A132,funnel_events_sample!$B$2:$B$543,"details_filled")=0,"",_xlfn.MINIFS(funnel_events_sample!$C$2:$C$543,funnel_events_sample!$A$2:$A$543,$A132,funnel_events_sample!$B$2:$B$543,"details_filled"))</f>
        <v/>
      </c>
      <c r="E132" s="9" t="str">
        <f>IF(COUNTIFS(funnel_events_sample!$A$2:$A$543,$A132,funnel_events_sample!$B$2:$B$543,"email_verified")=0,"",_xlfn.MINIFS(funnel_events_sample!$C$2:$C$543,funnel_events_sample!$A$2:$A$543,$A132,funnel_events_sample!$B$2:$B$543,"email_verified"))</f>
        <v/>
      </c>
      <c r="F132" s="9">
        <f>IF(COUNTIFS(funnel_events_sample!$A$2:$A$543,$A132,funnel_events_sample!$B$2:$B$543,"purchase_completed")=0,"",_xlfn.MINIFS(funnel_events_sample!$C$2:$C$543,funnel_events_sample!$A$2:$A$543,$A132,funnel_events_sample!$B$2:$B$543,"purchase_completed"))</f>
        <v>46223.207638888889</v>
      </c>
      <c r="G132" s="11">
        <f t="shared" si="8"/>
        <v>2.0833333335758653E-2</v>
      </c>
      <c r="H132" s="11" t="str">
        <f t="shared" si="9"/>
        <v/>
      </c>
      <c r="I132" s="11" t="str">
        <f t="shared" si="10"/>
        <v/>
      </c>
      <c r="J132" s="11" t="str">
        <f t="shared" si="11"/>
        <v/>
      </c>
    </row>
    <row r="133" spans="1:10">
      <c r="A133" s="3" t="s">
        <v>105</v>
      </c>
      <c r="B133" s="9">
        <f>IF(COUNTIFS(funnel_events_sample!$A$2:$A$543,$A133,funnel_events_sample!$B$2:$B$543,"visited_site")=0,"",_xlfn.MINIFS(funnel_events_sample!$C$2:$C$543,funnel_events_sample!$A$2:$A$543,$A133,funnel_events_sample!$B$2:$B$543,"visited_site"))</f>
        <v>46223.15902777778</v>
      </c>
      <c r="C133" s="9">
        <f>IF(COUNTIFS(funnel_events_sample!$A$2:$A$543,$A133,funnel_events_sample!$B$2:$B$543,"signup_started")=0,"",_xlfn.MINIFS(funnel_events_sample!$C$2:$C$543,funnel_events_sample!$A$2:$A$543,$A133,funnel_events_sample!$B$2:$B$543,"signup_started"))</f>
        <v>46223.179166666669</v>
      </c>
      <c r="D133" s="9" t="str">
        <f>IF(COUNTIFS(funnel_events_sample!$A$2:$A$543,$A133,funnel_events_sample!$B$2:$B$543,"details_filled")=0,"",_xlfn.MINIFS(funnel_events_sample!$C$2:$C$543,funnel_events_sample!$A$2:$A$543,$A133,funnel_events_sample!$B$2:$B$543,"details_filled"))</f>
        <v/>
      </c>
      <c r="E133" s="9" t="str">
        <f>IF(COUNTIFS(funnel_events_sample!$A$2:$A$543,$A133,funnel_events_sample!$B$2:$B$543,"email_verified")=0,"",_xlfn.MINIFS(funnel_events_sample!$C$2:$C$543,funnel_events_sample!$A$2:$A$543,$A133,funnel_events_sample!$B$2:$B$543,"email_verified"))</f>
        <v/>
      </c>
      <c r="F133" s="9">
        <f>IF(COUNTIFS(funnel_events_sample!$A$2:$A$543,$A133,funnel_events_sample!$B$2:$B$543,"purchase_completed")=0,"",_xlfn.MINIFS(funnel_events_sample!$C$2:$C$543,funnel_events_sample!$A$2:$A$543,$A133,funnel_events_sample!$B$2:$B$543,"purchase_completed"))</f>
        <v>46223.207638888889</v>
      </c>
      <c r="G133" s="11">
        <f t="shared" si="8"/>
        <v>2.0138888889050577E-2</v>
      </c>
      <c r="H133" s="11" t="str">
        <f t="shared" si="9"/>
        <v/>
      </c>
      <c r="I133" s="11" t="str">
        <f t="shared" si="10"/>
        <v/>
      </c>
      <c r="J133" s="11" t="str">
        <f t="shared" si="11"/>
        <v/>
      </c>
    </row>
    <row r="134" spans="1:10">
      <c r="A134" s="3" t="s">
        <v>39</v>
      </c>
      <c r="B134" s="9">
        <f>IF(COUNTIFS(funnel_events_sample!$A$2:$A$543,$A134,funnel_events_sample!$B$2:$B$543,"visited_site")=0,"",_xlfn.MINIFS(funnel_events_sample!$C$2:$C$543,funnel_events_sample!$A$2:$A$543,$A134,funnel_events_sample!$B$2:$B$543,"visited_site"))</f>
        <v>46223.167361111111</v>
      </c>
      <c r="C134" s="9">
        <f>IF(COUNTIFS(funnel_events_sample!$A$2:$A$543,$A134,funnel_events_sample!$B$2:$B$543,"signup_started")=0,"",_xlfn.MINIFS(funnel_events_sample!$C$2:$C$543,funnel_events_sample!$A$2:$A$543,$A134,funnel_events_sample!$B$2:$B$543,"signup_started"))</f>
        <v>46223.168055555558</v>
      </c>
      <c r="D134" s="9" t="str">
        <f>IF(COUNTIFS(funnel_events_sample!$A$2:$A$543,$A134,funnel_events_sample!$B$2:$B$543,"details_filled")=0,"",_xlfn.MINIFS(funnel_events_sample!$C$2:$C$543,funnel_events_sample!$A$2:$A$543,$A134,funnel_events_sample!$B$2:$B$543,"details_filled"))</f>
        <v/>
      </c>
      <c r="E134" s="9" t="str">
        <f>IF(COUNTIFS(funnel_events_sample!$A$2:$A$543,$A134,funnel_events_sample!$B$2:$B$543,"email_verified")=0,"",_xlfn.MINIFS(funnel_events_sample!$C$2:$C$543,funnel_events_sample!$A$2:$A$543,$A134,funnel_events_sample!$B$2:$B$543,"email_verified"))</f>
        <v/>
      </c>
      <c r="F134" s="9">
        <f>IF(COUNTIFS(funnel_events_sample!$A$2:$A$543,$A134,funnel_events_sample!$B$2:$B$543,"purchase_completed")=0,"",_xlfn.MINIFS(funnel_events_sample!$C$2:$C$543,funnel_events_sample!$A$2:$A$543,$A134,funnel_events_sample!$B$2:$B$543,"purchase_completed"))</f>
        <v>46223.202777777777</v>
      </c>
      <c r="G134" s="11">
        <f t="shared" si="8"/>
        <v>6.944444467080757E-4</v>
      </c>
      <c r="H134" s="11" t="str">
        <f t="shared" si="9"/>
        <v/>
      </c>
      <c r="I134" s="11" t="str">
        <f t="shared" si="10"/>
        <v/>
      </c>
      <c r="J134" s="11" t="str">
        <f t="shared" si="11"/>
        <v/>
      </c>
    </row>
    <row r="135" spans="1:10">
      <c r="A135" s="3" t="s">
        <v>35</v>
      </c>
      <c r="B135" s="9">
        <f>IF(COUNTIFS(funnel_events_sample!$A$2:$A$543,$A135,funnel_events_sample!$B$2:$B$543,"visited_site")=0,"",_xlfn.MINIFS(funnel_events_sample!$C$2:$C$543,funnel_events_sample!$A$2:$A$543,$A135,funnel_events_sample!$B$2:$B$543,"visited_site"))</f>
        <v>46223.157638888886</v>
      </c>
      <c r="C135" s="9">
        <f>IF(COUNTIFS(funnel_events_sample!$A$2:$A$543,$A135,funnel_events_sample!$B$2:$B$543,"signup_started")=0,"",_xlfn.MINIFS(funnel_events_sample!$C$2:$C$543,funnel_events_sample!$A$2:$A$543,$A135,funnel_events_sample!$B$2:$B$543,"signup_started"))</f>
        <v>46223.165972222225</v>
      </c>
      <c r="D135" s="9" t="str">
        <f>IF(COUNTIFS(funnel_events_sample!$A$2:$A$543,$A135,funnel_events_sample!$B$2:$B$543,"details_filled")=0,"",_xlfn.MINIFS(funnel_events_sample!$C$2:$C$543,funnel_events_sample!$A$2:$A$543,$A135,funnel_events_sample!$B$2:$B$543,"details_filled"))</f>
        <v/>
      </c>
      <c r="E135" s="9" t="str">
        <f>IF(COUNTIFS(funnel_events_sample!$A$2:$A$543,$A135,funnel_events_sample!$B$2:$B$543,"email_verified")=0,"",_xlfn.MINIFS(funnel_events_sample!$C$2:$C$543,funnel_events_sample!$A$2:$A$543,$A135,funnel_events_sample!$B$2:$B$543,"email_verified"))</f>
        <v/>
      </c>
      <c r="F135" s="9">
        <f>IF(COUNTIFS(funnel_events_sample!$A$2:$A$543,$A135,funnel_events_sample!$B$2:$B$543,"purchase_completed")=0,"",_xlfn.MINIFS(funnel_events_sample!$C$2:$C$543,funnel_events_sample!$A$2:$A$543,$A135,funnel_events_sample!$B$2:$B$543,"purchase_completed"))</f>
        <v>46223.194444444445</v>
      </c>
      <c r="G135" s="11">
        <f t="shared" si="8"/>
        <v>8.3333333386690356E-3</v>
      </c>
      <c r="H135" s="11" t="str">
        <f t="shared" si="9"/>
        <v/>
      </c>
      <c r="I135" s="11" t="str">
        <f t="shared" si="10"/>
        <v/>
      </c>
      <c r="J135" s="11" t="str">
        <f t="shared" si="11"/>
        <v/>
      </c>
    </row>
    <row r="136" spans="1:10">
      <c r="A136" s="3" t="s">
        <v>43</v>
      </c>
      <c r="B136" s="9">
        <f>IF(COUNTIFS(funnel_events_sample!$A$2:$A$543,$A136,funnel_events_sample!$B$2:$B$543,"visited_site")=0,"",_xlfn.MINIFS(funnel_events_sample!$C$2:$C$543,funnel_events_sample!$A$2:$A$543,$A136,funnel_events_sample!$B$2:$B$543,"visited_site"))</f>
        <v>46223.165277777778</v>
      </c>
      <c r="C136" s="9">
        <f>IF(COUNTIFS(funnel_events_sample!$A$2:$A$543,$A136,funnel_events_sample!$B$2:$B$543,"signup_started")=0,"",_xlfn.MINIFS(funnel_events_sample!$C$2:$C$543,funnel_events_sample!$A$2:$A$543,$A136,funnel_events_sample!$B$2:$B$543,"signup_started"))</f>
        <v>46223.170138888891</v>
      </c>
      <c r="D136" s="9" t="str">
        <f>IF(COUNTIFS(funnel_events_sample!$A$2:$A$543,$A136,funnel_events_sample!$B$2:$B$543,"details_filled")=0,"",_xlfn.MINIFS(funnel_events_sample!$C$2:$C$543,funnel_events_sample!$A$2:$A$543,$A136,funnel_events_sample!$B$2:$B$543,"details_filled"))</f>
        <v/>
      </c>
      <c r="E136" s="9" t="str">
        <f>IF(COUNTIFS(funnel_events_sample!$A$2:$A$543,$A136,funnel_events_sample!$B$2:$B$543,"email_verified")=0,"",_xlfn.MINIFS(funnel_events_sample!$C$2:$C$543,funnel_events_sample!$A$2:$A$543,$A136,funnel_events_sample!$B$2:$B$543,"email_verified"))</f>
        <v/>
      </c>
      <c r="F136" s="9">
        <f>IF(COUNTIFS(funnel_events_sample!$A$2:$A$543,$A136,funnel_events_sample!$B$2:$B$543,"purchase_completed")=0,"",_xlfn.MINIFS(funnel_events_sample!$C$2:$C$543,funnel_events_sample!$A$2:$A$543,$A136,funnel_events_sample!$B$2:$B$543,"purchase_completed"))</f>
        <v>46223.209027777775</v>
      </c>
      <c r="G136" s="11">
        <f t="shared" si="8"/>
        <v>4.8611111124046147E-3</v>
      </c>
      <c r="H136" s="11" t="str">
        <f t="shared" si="9"/>
        <v/>
      </c>
      <c r="I136" s="11" t="str">
        <f t="shared" si="10"/>
        <v/>
      </c>
      <c r="J136" s="11" t="str">
        <f t="shared" si="11"/>
        <v/>
      </c>
    </row>
    <row r="137" spans="1:10">
      <c r="A137" s="3" t="s">
        <v>27</v>
      </c>
      <c r="B137" s="9">
        <f>IF(COUNTIFS(funnel_events_sample!$A$2:$A$543,$A137,funnel_events_sample!$B$2:$B$543,"visited_site")=0,"",_xlfn.MINIFS(funnel_events_sample!$C$2:$C$543,funnel_events_sample!$A$2:$A$543,$A137,funnel_events_sample!$B$2:$B$543,"visited_site"))</f>
        <v>46223.150694444441</v>
      </c>
      <c r="C137" s="9">
        <f>IF(COUNTIFS(funnel_events_sample!$A$2:$A$543,$A137,funnel_events_sample!$B$2:$B$543,"signup_started")=0,"",_xlfn.MINIFS(funnel_events_sample!$C$2:$C$543,funnel_events_sample!$A$2:$A$543,$A137,funnel_events_sample!$B$2:$B$543,"signup_started"))</f>
        <v>46223.181250000001</v>
      </c>
      <c r="D137" s="9" t="str">
        <f>IF(COUNTIFS(funnel_events_sample!$A$2:$A$543,$A137,funnel_events_sample!$B$2:$B$543,"details_filled")=0,"",_xlfn.MINIFS(funnel_events_sample!$C$2:$C$543,funnel_events_sample!$A$2:$A$543,$A137,funnel_events_sample!$B$2:$B$543,"details_filled"))</f>
        <v/>
      </c>
      <c r="E137" s="9" t="str">
        <f>IF(COUNTIFS(funnel_events_sample!$A$2:$A$543,$A137,funnel_events_sample!$B$2:$B$543,"email_verified")=0,"",_xlfn.MINIFS(funnel_events_sample!$C$2:$C$543,funnel_events_sample!$A$2:$A$543,$A137,funnel_events_sample!$B$2:$B$543,"email_verified"))</f>
        <v/>
      </c>
      <c r="F137" s="9">
        <f>IF(COUNTIFS(funnel_events_sample!$A$2:$A$543,$A137,funnel_events_sample!$B$2:$B$543,"purchase_completed")=0,"",_xlfn.MINIFS(funnel_events_sample!$C$2:$C$543,funnel_events_sample!$A$2:$A$543,$A137,funnel_events_sample!$B$2:$B$543,"purchase_completed"))</f>
        <v>46223.201388888891</v>
      </c>
      <c r="G137" s="11">
        <f t="shared" si="8"/>
        <v>3.0555555560567882E-2</v>
      </c>
      <c r="H137" s="11" t="str">
        <f t="shared" si="9"/>
        <v/>
      </c>
      <c r="I137" s="11" t="str">
        <f t="shared" si="10"/>
        <v/>
      </c>
      <c r="J137" s="11" t="str">
        <f t="shared" si="11"/>
        <v/>
      </c>
    </row>
    <row r="138" spans="1:10">
      <c r="A138" s="3" t="s">
        <v>113</v>
      </c>
      <c r="B138" s="9">
        <f>IF(COUNTIFS(funnel_events_sample!$A$2:$A$543,$A138,funnel_events_sample!$B$2:$B$543,"visited_site")=0,"",_xlfn.MINIFS(funnel_events_sample!$C$2:$C$543,funnel_events_sample!$A$2:$A$543,$A138,funnel_events_sample!$B$2:$B$543,"visited_site"))</f>
        <v>46223.167361111111</v>
      </c>
      <c r="C138" s="9">
        <f>IF(COUNTIFS(funnel_events_sample!$A$2:$A$543,$A138,funnel_events_sample!$B$2:$B$543,"signup_started")=0,"",_xlfn.MINIFS(funnel_events_sample!$C$2:$C$543,funnel_events_sample!$A$2:$A$543,$A138,funnel_events_sample!$B$2:$B$543,"signup_started"))</f>
        <v>46223.180555555555</v>
      </c>
      <c r="D138" s="9" t="str">
        <f>IF(COUNTIFS(funnel_events_sample!$A$2:$A$543,$A138,funnel_events_sample!$B$2:$B$543,"details_filled")=0,"",_xlfn.MINIFS(funnel_events_sample!$C$2:$C$543,funnel_events_sample!$A$2:$A$543,$A138,funnel_events_sample!$B$2:$B$543,"details_filled"))</f>
        <v/>
      </c>
      <c r="E138" s="9" t="str">
        <f>IF(COUNTIFS(funnel_events_sample!$A$2:$A$543,$A138,funnel_events_sample!$B$2:$B$543,"email_verified")=0,"",_xlfn.MINIFS(funnel_events_sample!$C$2:$C$543,funnel_events_sample!$A$2:$A$543,$A138,funnel_events_sample!$B$2:$B$543,"email_verified"))</f>
        <v/>
      </c>
      <c r="F138" s="9">
        <f>IF(COUNTIFS(funnel_events_sample!$A$2:$A$543,$A138,funnel_events_sample!$B$2:$B$543,"purchase_completed")=0,"",_xlfn.MINIFS(funnel_events_sample!$C$2:$C$543,funnel_events_sample!$A$2:$A$543,$A138,funnel_events_sample!$B$2:$B$543,"purchase_completed"))</f>
        <v>46223.210416666669</v>
      </c>
      <c r="G138" s="11">
        <f t="shared" si="8"/>
        <v>1.3194444443797693E-2</v>
      </c>
      <c r="H138" s="11" t="str">
        <f t="shared" si="9"/>
        <v/>
      </c>
      <c r="I138" s="11" t="str">
        <f t="shared" si="10"/>
        <v/>
      </c>
      <c r="J138" s="11" t="str">
        <f t="shared" si="11"/>
        <v/>
      </c>
    </row>
    <row r="139" spans="1:10">
      <c r="A139" s="3" t="s">
        <v>37</v>
      </c>
      <c r="B139" s="9">
        <f>IF(COUNTIFS(funnel_events_sample!$A$2:$A$543,$A139,funnel_events_sample!$B$2:$B$543,"visited_site")=0,"",_xlfn.MINIFS(funnel_events_sample!$C$2:$C$543,funnel_events_sample!$A$2:$A$543,$A139,funnel_events_sample!$B$2:$B$543,"visited_site"))</f>
        <v>46223.154861111114</v>
      </c>
      <c r="C139" s="9">
        <f>IF(COUNTIFS(funnel_events_sample!$A$2:$A$543,$A139,funnel_events_sample!$B$2:$B$543,"signup_started")=0,"",_xlfn.MINIFS(funnel_events_sample!$C$2:$C$543,funnel_events_sample!$A$2:$A$543,$A139,funnel_events_sample!$B$2:$B$543,"signup_started"))</f>
        <v>46223.174305555556</v>
      </c>
      <c r="D139" s="9" t="str">
        <f>IF(COUNTIFS(funnel_events_sample!$A$2:$A$543,$A139,funnel_events_sample!$B$2:$B$543,"details_filled")=0,"",_xlfn.MINIFS(funnel_events_sample!$C$2:$C$543,funnel_events_sample!$A$2:$A$543,$A139,funnel_events_sample!$B$2:$B$543,"details_filled"))</f>
        <v/>
      </c>
      <c r="E139" s="9" t="str">
        <f>IF(COUNTIFS(funnel_events_sample!$A$2:$A$543,$A139,funnel_events_sample!$B$2:$B$543,"email_verified")=0,"",_xlfn.MINIFS(funnel_events_sample!$C$2:$C$543,funnel_events_sample!$A$2:$A$543,$A139,funnel_events_sample!$B$2:$B$543,"email_verified"))</f>
        <v/>
      </c>
      <c r="F139" s="9">
        <f>IF(COUNTIFS(funnel_events_sample!$A$2:$A$543,$A139,funnel_events_sample!$B$2:$B$543,"purchase_completed")=0,"",_xlfn.MINIFS(funnel_events_sample!$C$2:$C$543,funnel_events_sample!$A$2:$A$543,$A139,funnel_events_sample!$B$2:$B$543,"purchase_completed"))</f>
        <v>46223.192361111112</v>
      </c>
      <c r="G139" s="11">
        <f t="shared" si="8"/>
        <v>1.9444444442342501E-2</v>
      </c>
      <c r="H139" s="11" t="str">
        <f t="shared" si="9"/>
        <v/>
      </c>
      <c r="I139" s="11" t="str">
        <f t="shared" si="10"/>
        <v/>
      </c>
      <c r="J139" s="11" t="str">
        <f t="shared" si="11"/>
        <v/>
      </c>
    </row>
    <row r="140" spans="1:10">
      <c r="A140" s="3" t="s">
        <v>156</v>
      </c>
      <c r="B140" s="9">
        <f>IF(COUNTIFS(funnel_events_sample!$A$2:$A$543,$A140,funnel_events_sample!$B$2:$B$543,"visited_site")=0,"",_xlfn.MINIFS(funnel_events_sample!$C$2:$C$543,funnel_events_sample!$A$2:$A$543,$A140,funnel_events_sample!$B$2:$B$543,"visited_site"))</f>
        <v>46223.145833333336</v>
      </c>
      <c r="C140" s="9">
        <f>IF(COUNTIFS(funnel_events_sample!$A$2:$A$543,$A140,funnel_events_sample!$B$2:$B$543,"signup_started")=0,"",_xlfn.MINIFS(funnel_events_sample!$C$2:$C$543,funnel_events_sample!$A$2:$A$543,$A140,funnel_events_sample!$B$2:$B$543,"signup_started"))</f>
        <v>46223.159722222219</v>
      </c>
      <c r="D140" s="9" t="str">
        <f>IF(COUNTIFS(funnel_events_sample!$A$2:$A$543,$A140,funnel_events_sample!$B$2:$B$543,"details_filled")=0,"",_xlfn.MINIFS(funnel_events_sample!$C$2:$C$543,funnel_events_sample!$A$2:$A$543,$A140,funnel_events_sample!$B$2:$B$543,"details_filled"))</f>
        <v/>
      </c>
      <c r="E140" s="9" t="str">
        <f>IF(COUNTIFS(funnel_events_sample!$A$2:$A$543,$A140,funnel_events_sample!$B$2:$B$543,"email_verified")=0,"",_xlfn.MINIFS(funnel_events_sample!$C$2:$C$543,funnel_events_sample!$A$2:$A$543,$A140,funnel_events_sample!$B$2:$B$543,"email_verified"))</f>
        <v/>
      </c>
      <c r="F140" s="9">
        <f>IF(COUNTIFS(funnel_events_sample!$A$2:$A$543,$A140,funnel_events_sample!$B$2:$B$543,"purchase_completed")=0,"",_xlfn.MINIFS(funnel_events_sample!$C$2:$C$543,funnel_events_sample!$A$2:$A$543,$A140,funnel_events_sample!$B$2:$B$543,"purchase_completed"))</f>
        <v>46223.211111111108</v>
      </c>
      <c r="G140" s="11">
        <f t="shared" si="8"/>
        <v>1.3888888883229811E-2</v>
      </c>
      <c r="H140" s="11" t="str">
        <f t="shared" si="9"/>
        <v/>
      </c>
      <c r="I140" s="11" t="str">
        <f t="shared" si="10"/>
        <v/>
      </c>
      <c r="J140" s="11" t="str">
        <f t="shared" si="11"/>
        <v/>
      </c>
    </row>
    <row r="141" spans="1:10">
      <c r="A141" s="3" t="s">
        <v>61</v>
      </c>
      <c r="B141" s="9">
        <f>IF(COUNTIFS(funnel_events_sample!$A$2:$A$543,$A141,funnel_events_sample!$B$2:$B$543,"visited_site")=0,"",_xlfn.MINIFS(funnel_events_sample!$C$2:$C$543,funnel_events_sample!$A$2:$A$543,$A141,funnel_events_sample!$B$2:$B$543,"visited_site"))</f>
        <v>46223.148611111108</v>
      </c>
      <c r="C141" s="9">
        <f>IF(COUNTIFS(funnel_events_sample!$A$2:$A$543,$A141,funnel_events_sample!$B$2:$B$543,"signup_started")=0,"",_xlfn.MINIFS(funnel_events_sample!$C$2:$C$543,funnel_events_sample!$A$2:$A$543,$A141,funnel_events_sample!$B$2:$B$543,"signup_started"))</f>
        <v>46223.158333333333</v>
      </c>
      <c r="D141" s="9" t="str">
        <f>IF(COUNTIFS(funnel_events_sample!$A$2:$A$543,$A141,funnel_events_sample!$B$2:$B$543,"details_filled")=0,"",_xlfn.MINIFS(funnel_events_sample!$C$2:$C$543,funnel_events_sample!$A$2:$A$543,$A141,funnel_events_sample!$B$2:$B$543,"details_filled"))</f>
        <v/>
      </c>
      <c r="E141" s="9" t="str">
        <f>IF(COUNTIFS(funnel_events_sample!$A$2:$A$543,$A141,funnel_events_sample!$B$2:$B$543,"email_verified")=0,"",_xlfn.MINIFS(funnel_events_sample!$C$2:$C$543,funnel_events_sample!$A$2:$A$543,$A141,funnel_events_sample!$B$2:$B$543,"email_verified"))</f>
        <v/>
      </c>
      <c r="F141" s="9">
        <f>IF(COUNTIFS(funnel_events_sample!$A$2:$A$543,$A141,funnel_events_sample!$B$2:$B$543,"purchase_completed")=0,"",_xlfn.MINIFS(funnel_events_sample!$C$2:$C$543,funnel_events_sample!$A$2:$A$543,$A141,funnel_events_sample!$B$2:$B$543,"purchase_completed"))</f>
        <v>46223.211805555555</v>
      </c>
      <c r="G141" s="11">
        <f t="shared" si="8"/>
        <v>9.7222222248092294E-3</v>
      </c>
      <c r="H141" s="11" t="str">
        <f t="shared" si="9"/>
        <v/>
      </c>
      <c r="I141" s="11" t="str">
        <f t="shared" si="10"/>
        <v/>
      </c>
      <c r="J141" s="11" t="str">
        <f t="shared" si="11"/>
        <v/>
      </c>
    </row>
    <row r="142" spans="1:10">
      <c r="A142" s="3" t="s">
        <v>5</v>
      </c>
      <c r="B142" s="9">
        <f>IF(COUNTIFS(funnel_events_sample!$A$2:$A$543,$A142,funnel_events_sample!$B$2:$B$543,"visited_site")=0,"",_xlfn.MINIFS(funnel_events_sample!$C$2:$C$543,funnel_events_sample!$A$2:$A$543,$A142,funnel_events_sample!$B$2:$B$543,"visited_site"))</f>
        <v>46223.158333333333</v>
      </c>
      <c r="C142" s="9">
        <f>IF(COUNTIFS(funnel_events_sample!$A$2:$A$543,$A142,funnel_events_sample!$B$2:$B$543,"signup_started")=0,"",_xlfn.MINIFS(funnel_events_sample!$C$2:$C$543,funnel_events_sample!$A$2:$A$543,$A142,funnel_events_sample!$B$2:$B$543,"signup_started"))</f>
        <v>46223.158333333333</v>
      </c>
      <c r="D142" s="9" t="str">
        <f>IF(COUNTIFS(funnel_events_sample!$A$2:$A$543,$A142,funnel_events_sample!$B$2:$B$543,"details_filled")=0,"",_xlfn.MINIFS(funnel_events_sample!$C$2:$C$543,funnel_events_sample!$A$2:$A$543,$A142,funnel_events_sample!$B$2:$B$543,"details_filled"))</f>
        <v/>
      </c>
      <c r="E142" s="9" t="str">
        <f>IF(COUNTIFS(funnel_events_sample!$A$2:$A$543,$A142,funnel_events_sample!$B$2:$B$543,"email_verified")=0,"",_xlfn.MINIFS(funnel_events_sample!$C$2:$C$543,funnel_events_sample!$A$2:$A$543,$A142,funnel_events_sample!$B$2:$B$543,"email_verified"))</f>
        <v/>
      </c>
      <c r="F142" s="9">
        <f>IF(COUNTIFS(funnel_events_sample!$A$2:$A$543,$A142,funnel_events_sample!$B$2:$B$543,"purchase_completed")=0,"",_xlfn.MINIFS(funnel_events_sample!$C$2:$C$543,funnel_events_sample!$A$2:$A$543,$A142,funnel_events_sample!$B$2:$B$543,"purchase_completed"))</f>
        <v>46223.194444444445</v>
      </c>
      <c r="G142" s="11">
        <f t="shared" si="8"/>
        <v>0</v>
      </c>
      <c r="H142" s="11" t="str">
        <f t="shared" si="9"/>
        <v/>
      </c>
      <c r="I142" s="11" t="str">
        <f t="shared" si="10"/>
        <v/>
      </c>
      <c r="J142" s="11" t="str">
        <f t="shared" si="11"/>
        <v/>
      </c>
    </row>
    <row r="143" spans="1:10">
      <c r="A143" s="3" t="s">
        <v>202</v>
      </c>
      <c r="B143" s="9">
        <f>IF(COUNTIFS(funnel_events_sample!$A$2:$A$543,$A143,funnel_events_sample!$B$2:$B$543,"visited_site")=0,"",_xlfn.MINIFS(funnel_events_sample!$C$2:$C$543,funnel_events_sample!$A$2:$A$543,$A143,funnel_events_sample!$B$2:$B$543,"visited_site"))</f>
        <v>46223.169444444444</v>
      </c>
      <c r="C143" s="9">
        <f>IF(COUNTIFS(funnel_events_sample!$A$2:$A$543,$A143,funnel_events_sample!$B$2:$B$543,"signup_started")=0,"",_xlfn.MINIFS(funnel_events_sample!$C$2:$C$543,funnel_events_sample!$A$2:$A$543,$A143,funnel_events_sample!$B$2:$B$543,"signup_started"))</f>
        <v>46223.169444444444</v>
      </c>
      <c r="D143" s="9" t="str">
        <f>IF(COUNTIFS(funnel_events_sample!$A$2:$A$543,$A143,funnel_events_sample!$B$2:$B$543,"details_filled")=0,"",_xlfn.MINIFS(funnel_events_sample!$C$2:$C$543,funnel_events_sample!$A$2:$A$543,$A143,funnel_events_sample!$B$2:$B$543,"details_filled"))</f>
        <v/>
      </c>
      <c r="E143" s="9" t="str">
        <f>IF(COUNTIFS(funnel_events_sample!$A$2:$A$543,$A143,funnel_events_sample!$B$2:$B$543,"email_verified")=0,"",_xlfn.MINIFS(funnel_events_sample!$C$2:$C$543,funnel_events_sample!$A$2:$A$543,$A143,funnel_events_sample!$B$2:$B$543,"email_verified"))</f>
        <v/>
      </c>
      <c r="F143" s="9">
        <f>IF(COUNTIFS(funnel_events_sample!$A$2:$A$543,$A143,funnel_events_sample!$B$2:$B$543,"purchase_completed")=0,"",_xlfn.MINIFS(funnel_events_sample!$C$2:$C$543,funnel_events_sample!$A$2:$A$543,$A143,funnel_events_sample!$B$2:$B$543,"purchase_completed"))</f>
        <v>46223.199305555558</v>
      </c>
      <c r="G143" s="11">
        <f t="shared" si="8"/>
        <v>0</v>
      </c>
      <c r="H143" s="11" t="str">
        <f t="shared" si="9"/>
        <v/>
      </c>
      <c r="I143" s="11" t="str">
        <f t="shared" si="10"/>
        <v/>
      </c>
      <c r="J143" s="11" t="str">
        <f t="shared" si="11"/>
        <v/>
      </c>
    </row>
    <row r="144" spans="1:10">
      <c r="A144" s="3" t="s">
        <v>97</v>
      </c>
      <c r="B144" s="9">
        <f>IF(COUNTIFS(funnel_events_sample!$A$2:$A$543,$A144,funnel_events_sample!$B$2:$B$543,"visited_site")=0,"",_xlfn.MINIFS(funnel_events_sample!$C$2:$C$543,funnel_events_sample!$A$2:$A$543,$A144,funnel_events_sample!$B$2:$B$543,"visited_site"))</f>
        <v>46223.15625</v>
      </c>
      <c r="C144" s="9">
        <f>IF(COUNTIFS(funnel_events_sample!$A$2:$A$543,$A144,funnel_events_sample!$B$2:$B$543,"signup_started")=0,"",_xlfn.MINIFS(funnel_events_sample!$C$2:$C$543,funnel_events_sample!$A$2:$A$543,$A144,funnel_events_sample!$B$2:$B$543,"signup_started"))</f>
        <v>46223.163888888892</v>
      </c>
      <c r="D144" s="9" t="str">
        <f>IF(COUNTIFS(funnel_events_sample!$A$2:$A$543,$A144,funnel_events_sample!$B$2:$B$543,"details_filled")=0,"",_xlfn.MINIFS(funnel_events_sample!$C$2:$C$543,funnel_events_sample!$A$2:$A$543,$A144,funnel_events_sample!$B$2:$B$543,"details_filled"))</f>
        <v/>
      </c>
      <c r="E144" s="9" t="str">
        <f>IF(COUNTIFS(funnel_events_sample!$A$2:$A$543,$A144,funnel_events_sample!$B$2:$B$543,"email_verified")=0,"",_xlfn.MINIFS(funnel_events_sample!$C$2:$C$543,funnel_events_sample!$A$2:$A$543,$A144,funnel_events_sample!$B$2:$B$543,"email_verified"))</f>
        <v/>
      </c>
      <c r="F144" s="9" t="str">
        <f>IF(COUNTIFS(funnel_events_sample!$A$2:$A$543,$A144,funnel_events_sample!$B$2:$B$543,"purchase_completed")=0,"",_xlfn.MINIFS(funnel_events_sample!$C$2:$C$543,funnel_events_sample!$A$2:$A$543,$A144,funnel_events_sample!$B$2:$B$543,"purchase_completed"))</f>
        <v/>
      </c>
      <c r="G144" s="11">
        <f t="shared" si="8"/>
        <v>7.6388888919609599E-3</v>
      </c>
      <c r="H144" s="11" t="str">
        <f t="shared" si="9"/>
        <v/>
      </c>
      <c r="I144" s="11" t="str">
        <f t="shared" si="10"/>
        <v/>
      </c>
      <c r="J144" s="11" t="str">
        <f t="shared" si="11"/>
        <v/>
      </c>
    </row>
    <row r="145" spans="1:10">
      <c r="A145" s="3" t="s">
        <v>125</v>
      </c>
      <c r="B145" s="9">
        <f>IF(COUNTIFS(funnel_events_sample!$A$2:$A$543,$A145,funnel_events_sample!$B$2:$B$543,"visited_site")=0,"",_xlfn.MINIFS(funnel_events_sample!$C$2:$C$543,funnel_events_sample!$A$2:$A$543,$A145,funnel_events_sample!$B$2:$B$543,"visited_site"))</f>
        <v>46223.157638888886</v>
      </c>
      <c r="C145" s="9">
        <f>IF(COUNTIFS(funnel_events_sample!$A$2:$A$543,$A145,funnel_events_sample!$B$2:$B$543,"signup_started")=0,"",_xlfn.MINIFS(funnel_events_sample!$C$2:$C$543,funnel_events_sample!$A$2:$A$543,$A145,funnel_events_sample!$B$2:$B$543,"signup_started"))</f>
        <v>46223.166666666664</v>
      </c>
      <c r="D145" s="9" t="str">
        <f>IF(COUNTIFS(funnel_events_sample!$A$2:$A$543,$A145,funnel_events_sample!$B$2:$B$543,"details_filled")=0,"",_xlfn.MINIFS(funnel_events_sample!$C$2:$C$543,funnel_events_sample!$A$2:$A$543,$A145,funnel_events_sample!$B$2:$B$543,"details_filled"))</f>
        <v/>
      </c>
      <c r="E145" s="9" t="str">
        <f>IF(COUNTIFS(funnel_events_sample!$A$2:$A$543,$A145,funnel_events_sample!$B$2:$B$543,"email_verified")=0,"",_xlfn.MINIFS(funnel_events_sample!$C$2:$C$543,funnel_events_sample!$A$2:$A$543,$A145,funnel_events_sample!$B$2:$B$543,"email_verified"))</f>
        <v/>
      </c>
      <c r="F145" s="9" t="str">
        <f>IF(COUNTIFS(funnel_events_sample!$A$2:$A$543,$A145,funnel_events_sample!$B$2:$B$543,"purchase_completed")=0,"",_xlfn.MINIFS(funnel_events_sample!$C$2:$C$543,funnel_events_sample!$A$2:$A$543,$A145,funnel_events_sample!$B$2:$B$543,"purchase_completed"))</f>
        <v/>
      </c>
      <c r="G145" s="11">
        <f t="shared" si="8"/>
        <v>9.0277777781011537E-3</v>
      </c>
      <c r="H145" s="11" t="str">
        <f t="shared" si="9"/>
        <v/>
      </c>
      <c r="I145" s="11" t="str">
        <f t="shared" si="10"/>
        <v/>
      </c>
      <c r="J145" s="11" t="str">
        <f t="shared" si="11"/>
        <v/>
      </c>
    </row>
    <row r="146" spans="1:10">
      <c r="A146" s="3" t="s">
        <v>91</v>
      </c>
      <c r="B146" s="9">
        <f>IF(COUNTIFS(funnel_events_sample!$A$2:$A$543,$A146,funnel_events_sample!$B$2:$B$543,"visited_site")=0,"",_xlfn.MINIFS(funnel_events_sample!$C$2:$C$543,funnel_events_sample!$A$2:$A$543,$A146,funnel_events_sample!$B$2:$B$543,"visited_site"))</f>
        <v>46223.167361111111</v>
      </c>
      <c r="C146" s="9">
        <f>IF(COUNTIFS(funnel_events_sample!$A$2:$A$543,$A146,funnel_events_sample!$B$2:$B$543,"signup_started")=0,"",_xlfn.MINIFS(funnel_events_sample!$C$2:$C$543,funnel_events_sample!$A$2:$A$543,$A146,funnel_events_sample!$B$2:$B$543,"signup_started"))</f>
        <v>46223.161805555559</v>
      </c>
      <c r="D146" s="9" t="str">
        <f>IF(COUNTIFS(funnel_events_sample!$A$2:$A$543,$A146,funnel_events_sample!$B$2:$B$543,"details_filled")=0,"",_xlfn.MINIFS(funnel_events_sample!$C$2:$C$543,funnel_events_sample!$A$2:$A$543,$A146,funnel_events_sample!$B$2:$B$543,"details_filled"))</f>
        <v/>
      </c>
      <c r="E146" s="9" t="str">
        <f>IF(COUNTIFS(funnel_events_sample!$A$2:$A$543,$A146,funnel_events_sample!$B$2:$B$543,"email_verified")=0,"",_xlfn.MINIFS(funnel_events_sample!$C$2:$C$543,funnel_events_sample!$A$2:$A$543,$A146,funnel_events_sample!$B$2:$B$543,"email_verified"))</f>
        <v/>
      </c>
      <c r="F146" s="9" t="str">
        <f>IF(COUNTIFS(funnel_events_sample!$A$2:$A$543,$A146,funnel_events_sample!$B$2:$B$543,"purchase_completed")=0,"",_xlfn.MINIFS(funnel_events_sample!$C$2:$C$543,funnel_events_sample!$A$2:$A$543,$A146,funnel_events_sample!$B$2:$B$543,"purchase_completed"))</f>
        <v/>
      </c>
      <c r="G146" s="11" t="str">
        <f t="shared" si="8"/>
        <v/>
      </c>
      <c r="H146" s="11" t="str">
        <f t="shared" si="9"/>
        <v/>
      </c>
      <c r="I146" s="11" t="str">
        <f t="shared" si="10"/>
        <v/>
      </c>
      <c r="J146" s="11" t="str">
        <f t="shared" si="11"/>
        <v/>
      </c>
    </row>
    <row r="147" spans="1:10">
      <c r="A147" s="3" t="s">
        <v>199</v>
      </c>
      <c r="B147" s="9">
        <f>IF(COUNTIFS(funnel_events_sample!$A$2:$A$543,$A147,funnel_events_sample!$B$2:$B$543,"visited_site")=0,"",_xlfn.MINIFS(funnel_events_sample!$C$2:$C$543,funnel_events_sample!$A$2:$A$543,$A147,funnel_events_sample!$B$2:$B$543,"visited_site"))</f>
        <v>46223.162499999999</v>
      </c>
      <c r="C147" s="9">
        <f>IF(COUNTIFS(funnel_events_sample!$A$2:$A$543,$A147,funnel_events_sample!$B$2:$B$543,"signup_started")=0,"",_xlfn.MINIFS(funnel_events_sample!$C$2:$C$543,funnel_events_sample!$A$2:$A$543,$A147,funnel_events_sample!$B$2:$B$543,"signup_started"))</f>
        <v>46223.175694444442</v>
      </c>
      <c r="D147" s="9" t="str">
        <f>IF(COUNTIFS(funnel_events_sample!$A$2:$A$543,$A147,funnel_events_sample!$B$2:$B$543,"details_filled")=0,"",_xlfn.MINIFS(funnel_events_sample!$C$2:$C$543,funnel_events_sample!$A$2:$A$543,$A147,funnel_events_sample!$B$2:$B$543,"details_filled"))</f>
        <v/>
      </c>
      <c r="E147" s="9" t="str">
        <f>IF(COUNTIFS(funnel_events_sample!$A$2:$A$543,$A147,funnel_events_sample!$B$2:$B$543,"email_verified")=0,"",_xlfn.MINIFS(funnel_events_sample!$C$2:$C$543,funnel_events_sample!$A$2:$A$543,$A147,funnel_events_sample!$B$2:$B$543,"email_verified"))</f>
        <v/>
      </c>
      <c r="F147" s="9" t="str">
        <f>IF(COUNTIFS(funnel_events_sample!$A$2:$A$543,$A147,funnel_events_sample!$B$2:$B$543,"purchase_completed")=0,"",_xlfn.MINIFS(funnel_events_sample!$C$2:$C$543,funnel_events_sample!$A$2:$A$543,$A147,funnel_events_sample!$B$2:$B$543,"purchase_completed"))</f>
        <v/>
      </c>
      <c r="G147" s="11">
        <f t="shared" si="8"/>
        <v>1.3194444443797693E-2</v>
      </c>
      <c r="H147" s="11" t="str">
        <f t="shared" si="9"/>
        <v/>
      </c>
      <c r="I147" s="11" t="str">
        <f t="shared" si="10"/>
        <v/>
      </c>
      <c r="J147" s="11" t="str">
        <f t="shared" si="11"/>
        <v/>
      </c>
    </row>
    <row r="148" spans="1:10">
      <c r="A148" s="3" t="s">
        <v>121</v>
      </c>
      <c r="B148" s="9">
        <f>IF(COUNTIFS(funnel_events_sample!$A$2:$A$543,$A148,funnel_events_sample!$B$2:$B$543,"visited_site")=0,"",_xlfn.MINIFS(funnel_events_sample!$C$2:$C$543,funnel_events_sample!$A$2:$A$543,$A148,funnel_events_sample!$B$2:$B$543,"visited_site"))</f>
        <v>46223.156944444447</v>
      </c>
      <c r="C148" s="9">
        <f>IF(COUNTIFS(funnel_events_sample!$A$2:$A$543,$A148,funnel_events_sample!$B$2:$B$543,"signup_started")=0,"",_xlfn.MINIFS(funnel_events_sample!$C$2:$C$543,funnel_events_sample!$A$2:$A$543,$A148,funnel_events_sample!$B$2:$B$543,"signup_started"))</f>
        <v>46223.17083333333</v>
      </c>
      <c r="D148" s="9" t="str">
        <f>IF(COUNTIFS(funnel_events_sample!$A$2:$A$543,$A148,funnel_events_sample!$B$2:$B$543,"details_filled")=0,"",_xlfn.MINIFS(funnel_events_sample!$C$2:$C$543,funnel_events_sample!$A$2:$A$543,$A148,funnel_events_sample!$B$2:$B$543,"details_filled"))</f>
        <v/>
      </c>
      <c r="E148" s="9" t="str">
        <f>IF(COUNTIFS(funnel_events_sample!$A$2:$A$543,$A148,funnel_events_sample!$B$2:$B$543,"email_verified")=0,"",_xlfn.MINIFS(funnel_events_sample!$C$2:$C$543,funnel_events_sample!$A$2:$A$543,$A148,funnel_events_sample!$B$2:$B$543,"email_verified"))</f>
        <v/>
      </c>
      <c r="F148" s="9" t="str">
        <f>IF(COUNTIFS(funnel_events_sample!$A$2:$A$543,$A148,funnel_events_sample!$B$2:$B$543,"purchase_completed")=0,"",_xlfn.MINIFS(funnel_events_sample!$C$2:$C$543,funnel_events_sample!$A$2:$A$543,$A148,funnel_events_sample!$B$2:$B$543,"purchase_completed"))</f>
        <v/>
      </c>
      <c r="G148" s="11">
        <f t="shared" si="8"/>
        <v>1.3888888883229811E-2</v>
      </c>
      <c r="H148" s="11" t="str">
        <f t="shared" si="9"/>
        <v/>
      </c>
      <c r="I148" s="11" t="str">
        <f t="shared" si="10"/>
        <v/>
      </c>
      <c r="J148" s="11" t="str">
        <f t="shared" si="11"/>
        <v/>
      </c>
    </row>
    <row r="149" spans="1:10">
      <c r="A149" s="3" t="s">
        <v>118</v>
      </c>
      <c r="B149" s="9">
        <f>IF(COUNTIFS(funnel_events_sample!$A$2:$A$543,$A149,funnel_events_sample!$B$2:$B$543,"visited_site")=0,"",_xlfn.MINIFS(funnel_events_sample!$C$2:$C$543,funnel_events_sample!$A$2:$A$543,$A149,funnel_events_sample!$B$2:$B$543,"visited_site"))</f>
        <v>46223.17083333333</v>
      </c>
      <c r="C149" s="9">
        <f>IF(COUNTIFS(funnel_events_sample!$A$2:$A$543,$A149,funnel_events_sample!$B$2:$B$543,"signup_started")=0,"",_xlfn.MINIFS(funnel_events_sample!$C$2:$C$543,funnel_events_sample!$A$2:$A$543,$A149,funnel_events_sample!$B$2:$B$543,"signup_started"))</f>
        <v>46223.158333333333</v>
      </c>
      <c r="D149" s="9" t="str">
        <f>IF(COUNTIFS(funnel_events_sample!$A$2:$A$543,$A149,funnel_events_sample!$B$2:$B$543,"details_filled")=0,"",_xlfn.MINIFS(funnel_events_sample!$C$2:$C$543,funnel_events_sample!$A$2:$A$543,$A149,funnel_events_sample!$B$2:$B$543,"details_filled"))</f>
        <v/>
      </c>
      <c r="E149" s="9" t="str">
        <f>IF(COUNTIFS(funnel_events_sample!$A$2:$A$543,$A149,funnel_events_sample!$B$2:$B$543,"email_verified")=0,"",_xlfn.MINIFS(funnel_events_sample!$C$2:$C$543,funnel_events_sample!$A$2:$A$543,$A149,funnel_events_sample!$B$2:$B$543,"email_verified"))</f>
        <v/>
      </c>
      <c r="F149" s="9" t="str">
        <f>IF(COUNTIFS(funnel_events_sample!$A$2:$A$543,$A149,funnel_events_sample!$B$2:$B$543,"purchase_completed")=0,"",_xlfn.MINIFS(funnel_events_sample!$C$2:$C$543,funnel_events_sample!$A$2:$A$543,$A149,funnel_events_sample!$B$2:$B$543,"purchase_completed"))</f>
        <v/>
      </c>
      <c r="G149" s="11" t="str">
        <f t="shared" si="8"/>
        <v/>
      </c>
      <c r="H149" s="11" t="str">
        <f t="shared" si="9"/>
        <v/>
      </c>
      <c r="I149" s="11" t="str">
        <f t="shared" si="10"/>
        <v/>
      </c>
      <c r="J149" s="11" t="str">
        <f t="shared" si="11"/>
        <v/>
      </c>
    </row>
    <row r="150" spans="1:10">
      <c r="A150" s="3" t="s">
        <v>178</v>
      </c>
      <c r="B150" s="9">
        <f>IF(COUNTIFS(funnel_events_sample!$A$2:$A$543,$A150,funnel_events_sample!$B$2:$B$543,"visited_site")=0,"",_xlfn.MINIFS(funnel_events_sample!$C$2:$C$543,funnel_events_sample!$A$2:$A$543,$A150,funnel_events_sample!$B$2:$B$543,"visited_site"))</f>
        <v>46223.161111111112</v>
      </c>
      <c r="C150" s="9">
        <f>IF(COUNTIFS(funnel_events_sample!$A$2:$A$543,$A150,funnel_events_sample!$B$2:$B$543,"signup_started")=0,"",_xlfn.MINIFS(funnel_events_sample!$C$2:$C$543,funnel_events_sample!$A$2:$A$543,$A150,funnel_events_sample!$B$2:$B$543,"signup_started"))</f>
        <v>46223.175000000003</v>
      </c>
      <c r="D150" s="9" t="str">
        <f>IF(COUNTIFS(funnel_events_sample!$A$2:$A$543,$A150,funnel_events_sample!$B$2:$B$543,"details_filled")=0,"",_xlfn.MINIFS(funnel_events_sample!$C$2:$C$543,funnel_events_sample!$A$2:$A$543,$A150,funnel_events_sample!$B$2:$B$543,"details_filled"))</f>
        <v/>
      </c>
      <c r="E150" s="9" t="str">
        <f>IF(COUNTIFS(funnel_events_sample!$A$2:$A$543,$A150,funnel_events_sample!$B$2:$B$543,"email_verified")=0,"",_xlfn.MINIFS(funnel_events_sample!$C$2:$C$543,funnel_events_sample!$A$2:$A$543,$A150,funnel_events_sample!$B$2:$B$543,"email_verified"))</f>
        <v/>
      </c>
      <c r="F150" s="9" t="str">
        <f>IF(COUNTIFS(funnel_events_sample!$A$2:$A$543,$A150,funnel_events_sample!$B$2:$B$543,"purchase_completed")=0,"",_xlfn.MINIFS(funnel_events_sample!$C$2:$C$543,funnel_events_sample!$A$2:$A$543,$A150,funnel_events_sample!$B$2:$B$543,"purchase_completed"))</f>
        <v/>
      </c>
      <c r="G150" s="11">
        <f t="shared" si="8"/>
        <v>1.3888888890505768E-2</v>
      </c>
      <c r="H150" s="11" t="str">
        <f t="shared" si="9"/>
        <v/>
      </c>
      <c r="I150" s="11" t="str">
        <f t="shared" si="10"/>
        <v/>
      </c>
      <c r="J150" s="11" t="str">
        <f t="shared" si="11"/>
        <v/>
      </c>
    </row>
    <row r="151" spans="1:10">
      <c r="A151" s="3" t="s">
        <v>112</v>
      </c>
      <c r="B151" s="9">
        <f>IF(COUNTIFS(funnel_events_sample!$A$2:$A$543,$A151,funnel_events_sample!$B$2:$B$543,"visited_site")=0,"",_xlfn.MINIFS(funnel_events_sample!$C$2:$C$543,funnel_events_sample!$A$2:$A$543,$A151,funnel_events_sample!$B$2:$B$543,"visited_site"))</f>
        <v>46223.171527777777</v>
      </c>
      <c r="C151" s="9">
        <f>IF(COUNTIFS(funnel_events_sample!$A$2:$A$543,$A151,funnel_events_sample!$B$2:$B$543,"signup_started")=0,"",_xlfn.MINIFS(funnel_events_sample!$C$2:$C$543,funnel_events_sample!$A$2:$A$543,$A151,funnel_events_sample!$B$2:$B$543,"signup_started"))</f>
        <v>46223.179861111108</v>
      </c>
      <c r="D151" s="9" t="str">
        <f>IF(COUNTIFS(funnel_events_sample!$A$2:$A$543,$A151,funnel_events_sample!$B$2:$B$543,"details_filled")=0,"",_xlfn.MINIFS(funnel_events_sample!$C$2:$C$543,funnel_events_sample!$A$2:$A$543,$A151,funnel_events_sample!$B$2:$B$543,"details_filled"))</f>
        <v/>
      </c>
      <c r="E151" s="9" t="str">
        <f>IF(COUNTIFS(funnel_events_sample!$A$2:$A$543,$A151,funnel_events_sample!$B$2:$B$543,"email_verified")=0,"",_xlfn.MINIFS(funnel_events_sample!$C$2:$C$543,funnel_events_sample!$A$2:$A$543,$A151,funnel_events_sample!$B$2:$B$543,"email_verified"))</f>
        <v/>
      </c>
      <c r="F151" s="9" t="str">
        <f>IF(COUNTIFS(funnel_events_sample!$A$2:$A$543,$A151,funnel_events_sample!$B$2:$B$543,"purchase_completed")=0,"",_xlfn.MINIFS(funnel_events_sample!$C$2:$C$543,funnel_events_sample!$A$2:$A$543,$A151,funnel_events_sample!$B$2:$B$543,"purchase_completed"))</f>
        <v/>
      </c>
      <c r="G151" s="11">
        <f t="shared" si="8"/>
        <v>8.333333331393078E-3</v>
      </c>
      <c r="H151" s="11" t="str">
        <f t="shared" si="9"/>
        <v/>
      </c>
      <c r="I151" s="11" t="str">
        <f t="shared" si="10"/>
        <v/>
      </c>
      <c r="J151" s="11" t="str">
        <f t="shared" si="11"/>
        <v/>
      </c>
    </row>
    <row r="152" spans="1:10">
      <c r="A152" s="3" t="s">
        <v>159</v>
      </c>
      <c r="B152" s="9">
        <f>IF(COUNTIFS(funnel_events_sample!$A$2:$A$543,$A152,funnel_events_sample!$B$2:$B$543,"visited_site")=0,"",_xlfn.MINIFS(funnel_events_sample!$C$2:$C$543,funnel_events_sample!$A$2:$A$543,$A152,funnel_events_sample!$B$2:$B$543,"visited_site"))</f>
        <v>46223.165277777778</v>
      </c>
      <c r="C152" s="9" t="str">
        <f>IF(COUNTIFS(funnel_events_sample!$A$2:$A$543,$A152,funnel_events_sample!$B$2:$B$543,"signup_started")=0,"",_xlfn.MINIFS(funnel_events_sample!$C$2:$C$543,funnel_events_sample!$A$2:$A$543,$A152,funnel_events_sample!$B$2:$B$543,"signup_started"))</f>
        <v/>
      </c>
      <c r="D152" s="9">
        <f>IF(COUNTIFS(funnel_events_sample!$A$2:$A$543,$A152,funnel_events_sample!$B$2:$B$543,"details_filled")=0,"",_xlfn.MINIFS(funnel_events_sample!$C$2:$C$543,funnel_events_sample!$A$2:$A$543,$A152,funnel_events_sample!$B$2:$B$543,"details_filled"))</f>
        <v>46223.188194444447</v>
      </c>
      <c r="E152" s="9" t="str">
        <f>IF(COUNTIFS(funnel_events_sample!$A$2:$A$543,$A152,funnel_events_sample!$B$2:$B$543,"email_verified")=0,"",_xlfn.MINIFS(funnel_events_sample!$C$2:$C$543,funnel_events_sample!$A$2:$A$543,$A152,funnel_events_sample!$B$2:$B$543,"email_verified"))</f>
        <v/>
      </c>
      <c r="F152" s="9" t="str">
        <f>IF(COUNTIFS(funnel_events_sample!$A$2:$A$543,$A152,funnel_events_sample!$B$2:$B$543,"purchase_completed")=0,"",_xlfn.MINIFS(funnel_events_sample!$C$2:$C$543,funnel_events_sample!$A$2:$A$543,$A152,funnel_events_sample!$B$2:$B$543,"purchase_completed"))</f>
        <v/>
      </c>
      <c r="G152" s="11" t="str">
        <f t="shared" si="8"/>
        <v/>
      </c>
      <c r="H152" s="11" t="str">
        <f t="shared" si="9"/>
        <v/>
      </c>
      <c r="I152" s="11" t="str">
        <f t="shared" si="10"/>
        <v/>
      </c>
      <c r="J152" s="11" t="str">
        <f t="shared" si="11"/>
        <v/>
      </c>
    </row>
    <row r="153" spans="1:10">
      <c r="A153" s="3" t="s">
        <v>139</v>
      </c>
      <c r="B153" s="9">
        <f>IF(COUNTIFS(funnel_events_sample!$A$2:$A$543,$A153,funnel_events_sample!$B$2:$B$543,"visited_site")=0,"",_xlfn.MINIFS(funnel_events_sample!$C$2:$C$543,funnel_events_sample!$A$2:$A$543,$A153,funnel_events_sample!$B$2:$B$543,"visited_site"))</f>
        <v>46223.160416666666</v>
      </c>
      <c r="C153" s="9" t="str">
        <f>IF(COUNTIFS(funnel_events_sample!$A$2:$A$543,$A153,funnel_events_sample!$B$2:$B$543,"signup_started")=0,"",_xlfn.MINIFS(funnel_events_sample!$C$2:$C$543,funnel_events_sample!$A$2:$A$543,$A153,funnel_events_sample!$B$2:$B$543,"signup_started"))</f>
        <v/>
      </c>
      <c r="D153" s="9">
        <f>IF(COUNTIFS(funnel_events_sample!$A$2:$A$543,$A153,funnel_events_sample!$B$2:$B$543,"details_filled")=0,"",_xlfn.MINIFS(funnel_events_sample!$C$2:$C$543,funnel_events_sample!$A$2:$A$543,$A153,funnel_events_sample!$B$2:$B$543,"details_filled"))</f>
        <v>46223.169444444444</v>
      </c>
      <c r="E153" s="9" t="str">
        <f>IF(COUNTIFS(funnel_events_sample!$A$2:$A$543,$A153,funnel_events_sample!$B$2:$B$543,"email_verified")=0,"",_xlfn.MINIFS(funnel_events_sample!$C$2:$C$543,funnel_events_sample!$A$2:$A$543,$A153,funnel_events_sample!$B$2:$B$543,"email_verified"))</f>
        <v/>
      </c>
      <c r="F153" s="9" t="str">
        <f>IF(COUNTIFS(funnel_events_sample!$A$2:$A$543,$A153,funnel_events_sample!$B$2:$B$543,"purchase_completed")=0,"",_xlfn.MINIFS(funnel_events_sample!$C$2:$C$543,funnel_events_sample!$A$2:$A$543,$A153,funnel_events_sample!$B$2:$B$543,"purchase_completed"))</f>
        <v/>
      </c>
      <c r="G153" s="11" t="str">
        <f t="shared" si="8"/>
        <v/>
      </c>
      <c r="H153" s="11" t="str">
        <f t="shared" si="9"/>
        <v/>
      </c>
      <c r="I153" s="11" t="str">
        <f t="shared" si="10"/>
        <v/>
      </c>
      <c r="J153" s="11" t="str">
        <f t="shared" si="11"/>
        <v/>
      </c>
    </row>
    <row r="154" spans="1:10">
      <c r="A154" s="3" t="s">
        <v>72</v>
      </c>
      <c r="B154" s="9">
        <f>IF(COUNTIFS(funnel_events_sample!$A$2:$A$543,$A154,funnel_events_sample!$B$2:$B$543,"visited_site")=0,"",_xlfn.MINIFS(funnel_events_sample!$C$2:$C$543,funnel_events_sample!$A$2:$A$543,$A154,funnel_events_sample!$B$2:$B$543,"visited_site"))</f>
        <v>46223.149305555555</v>
      </c>
      <c r="C154" s="9" t="str">
        <f>IF(COUNTIFS(funnel_events_sample!$A$2:$A$543,$A154,funnel_events_sample!$B$2:$B$543,"signup_started")=0,"",_xlfn.MINIFS(funnel_events_sample!$C$2:$C$543,funnel_events_sample!$A$2:$A$543,$A154,funnel_events_sample!$B$2:$B$543,"signup_started"))</f>
        <v/>
      </c>
      <c r="D154" s="9">
        <f>IF(COUNTIFS(funnel_events_sample!$A$2:$A$543,$A154,funnel_events_sample!$B$2:$B$543,"details_filled")=0,"",_xlfn.MINIFS(funnel_events_sample!$C$2:$C$543,funnel_events_sample!$A$2:$A$543,$A154,funnel_events_sample!$B$2:$B$543,"details_filled"))</f>
        <v>46223.174305555556</v>
      </c>
      <c r="E154" s="9" t="str">
        <f>IF(COUNTIFS(funnel_events_sample!$A$2:$A$543,$A154,funnel_events_sample!$B$2:$B$543,"email_verified")=0,"",_xlfn.MINIFS(funnel_events_sample!$C$2:$C$543,funnel_events_sample!$A$2:$A$543,$A154,funnel_events_sample!$B$2:$B$543,"email_verified"))</f>
        <v/>
      </c>
      <c r="F154" s="9" t="str">
        <f>IF(COUNTIFS(funnel_events_sample!$A$2:$A$543,$A154,funnel_events_sample!$B$2:$B$543,"purchase_completed")=0,"",_xlfn.MINIFS(funnel_events_sample!$C$2:$C$543,funnel_events_sample!$A$2:$A$543,$A154,funnel_events_sample!$B$2:$B$543,"purchase_completed"))</f>
        <v/>
      </c>
      <c r="G154" s="11" t="str">
        <f t="shared" si="8"/>
        <v/>
      </c>
      <c r="H154" s="11" t="str">
        <f t="shared" si="9"/>
        <v/>
      </c>
      <c r="I154" s="11" t="str">
        <f t="shared" si="10"/>
        <v/>
      </c>
      <c r="J154" s="11" t="str">
        <f t="shared" si="11"/>
        <v/>
      </c>
    </row>
    <row r="155" spans="1:10">
      <c r="A155" s="3" t="s">
        <v>45</v>
      </c>
      <c r="B155" s="9">
        <f>IF(COUNTIFS(funnel_events_sample!$A$2:$A$543,$A155,funnel_events_sample!$B$2:$B$543,"visited_site")=0,"",_xlfn.MINIFS(funnel_events_sample!$C$2:$C$543,funnel_events_sample!$A$2:$A$543,$A155,funnel_events_sample!$B$2:$B$543,"visited_site"))</f>
        <v>46223.168749999997</v>
      </c>
      <c r="C155" s="9" t="str">
        <f>IF(COUNTIFS(funnel_events_sample!$A$2:$A$543,$A155,funnel_events_sample!$B$2:$B$543,"signup_started")=0,"",_xlfn.MINIFS(funnel_events_sample!$C$2:$C$543,funnel_events_sample!$A$2:$A$543,$A155,funnel_events_sample!$B$2:$B$543,"signup_started"))</f>
        <v/>
      </c>
      <c r="D155" s="9">
        <f>IF(COUNTIFS(funnel_events_sample!$A$2:$A$543,$A155,funnel_events_sample!$B$2:$B$543,"details_filled")=0,"",_xlfn.MINIFS(funnel_events_sample!$C$2:$C$543,funnel_events_sample!$A$2:$A$543,$A155,funnel_events_sample!$B$2:$B$543,"details_filled"))</f>
        <v>46223.173611111109</v>
      </c>
      <c r="E155" s="9" t="str">
        <f>IF(COUNTIFS(funnel_events_sample!$A$2:$A$543,$A155,funnel_events_sample!$B$2:$B$543,"email_verified")=0,"",_xlfn.MINIFS(funnel_events_sample!$C$2:$C$543,funnel_events_sample!$A$2:$A$543,$A155,funnel_events_sample!$B$2:$B$543,"email_verified"))</f>
        <v/>
      </c>
      <c r="F155" s="9" t="str">
        <f>IF(COUNTIFS(funnel_events_sample!$A$2:$A$543,$A155,funnel_events_sample!$B$2:$B$543,"purchase_completed")=0,"",_xlfn.MINIFS(funnel_events_sample!$C$2:$C$543,funnel_events_sample!$A$2:$A$543,$A155,funnel_events_sample!$B$2:$B$543,"purchase_completed"))</f>
        <v/>
      </c>
      <c r="G155" s="11" t="str">
        <f t="shared" si="8"/>
        <v/>
      </c>
      <c r="H155" s="11" t="str">
        <f t="shared" si="9"/>
        <v/>
      </c>
      <c r="I155" s="11" t="str">
        <f t="shared" si="10"/>
        <v/>
      </c>
      <c r="J155" s="11" t="str">
        <f t="shared" si="11"/>
        <v/>
      </c>
    </row>
    <row r="156" spans="1:10">
      <c r="A156" s="3" t="s">
        <v>168</v>
      </c>
      <c r="B156" s="9">
        <f>IF(COUNTIFS(funnel_events_sample!$A$2:$A$543,$A156,funnel_events_sample!$B$2:$B$543,"visited_site")=0,"",_xlfn.MINIFS(funnel_events_sample!$C$2:$C$543,funnel_events_sample!$A$2:$A$543,$A156,funnel_events_sample!$B$2:$B$543,"visited_site"))</f>
        <v>46223.145833333336</v>
      </c>
      <c r="C156" s="9" t="str">
        <f>IF(COUNTIFS(funnel_events_sample!$A$2:$A$543,$A156,funnel_events_sample!$B$2:$B$543,"signup_started")=0,"",_xlfn.MINIFS(funnel_events_sample!$C$2:$C$543,funnel_events_sample!$A$2:$A$543,$A156,funnel_events_sample!$B$2:$B$543,"signup_started"))</f>
        <v/>
      </c>
      <c r="D156" s="9">
        <f>IF(COUNTIFS(funnel_events_sample!$A$2:$A$543,$A156,funnel_events_sample!$B$2:$B$543,"details_filled")=0,"",_xlfn.MINIFS(funnel_events_sample!$C$2:$C$543,funnel_events_sample!$A$2:$A$543,$A156,funnel_events_sample!$B$2:$B$543,"details_filled"))</f>
        <v>46223.191666666666</v>
      </c>
      <c r="E156" s="9" t="str">
        <f>IF(COUNTIFS(funnel_events_sample!$A$2:$A$543,$A156,funnel_events_sample!$B$2:$B$543,"email_verified")=0,"",_xlfn.MINIFS(funnel_events_sample!$C$2:$C$543,funnel_events_sample!$A$2:$A$543,$A156,funnel_events_sample!$B$2:$B$543,"email_verified"))</f>
        <v/>
      </c>
      <c r="F156" s="9" t="str">
        <f>IF(COUNTIFS(funnel_events_sample!$A$2:$A$543,$A156,funnel_events_sample!$B$2:$B$543,"purchase_completed")=0,"",_xlfn.MINIFS(funnel_events_sample!$C$2:$C$543,funnel_events_sample!$A$2:$A$543,$A156,funnel_events_sample!$B$2:$B$543,"purchase_completed"))</f>
        <v/>
      </c>
      <c r="G156" s="11" t="str">
        <f t="shared" si="8"/>
        <v/>
      </c>
      <c r="H156" s="11" t="str">
        <f t="shared" si="9"/>
        <v/>
      </c>
      <c r="I156" s="11" t="str">
        <f t="shared" si="10"/>
        <v/>
      </c>
      <c r="J156" s="11" t="str">
        <f t="shared" si="11"/>
        <v/>
      </c>
    </row>
    <row r="157" spans="1:10">
      <c r="A157" s="3" t="s">
        <v>32</v>
      </c>
      <c r="B157" s="9">
        <f>IF(COUNTIFS(funnel_events_sample!$A$2:$A$543,$A157,funnel_events_sample!$B$2:$B$543,"visited_site")=0,"",_xlfn.MINIFS(funnel_events_sample!$C$2:$C$543,funnel_events_sample!$A$2:$A$543,$A157,funnel_events_sample!$B$2:$B$543,"visited_site"))</f>
        <v>46223.162499999999</v>
      </c>
      <c r="C157" s="9" t="str">
        <f>IF(COUNTIFS(funnel_events_sample!$A$2:$A$543,$A157,funnel_events_sample!$B$2:$B$543,"signup_started")=0,"",_xlfn.MINIFS(funnel_events_sample!$C$2:$C$543,funnel_events_sample!$A$2:$A$543,$A157,funnel_events_sample!$B$2:$B$543,"signup_started"))</f>
        <v/>
      </c>
      <c r="D157" s="9">
        <f>IF(COUNTIFS(funnel_events_sample!$A$2:$A$543,$A157,funnel_events_sample!$B$2:$B$543,"details_filled")=0,"",_xlfn.MINIFS(funnel_events_sample!$C$2:$C$543,funnel_events_sample!$A$2:$A$543,$A157,funnel_events_sample!$B$2:$B$543,"details_filled"))</f>
        <v>46223.17083333333</v>
      </c>
      <c r="E157" s="9" t="str">
        <f>IF(COUNTIFS(funnel_events_sample!$A$2:$A$543,$A157,funnel_events_sample!$B$2:$B$543,"email_verified")=0,"",_xlfn.MINIFS(funnel_events_sample!$C$2:$C$543,funnel_events_sample!$A$2:$A$543,$A157,funnel_events_sample!$B$2:$B$543,"email_verified"))</f>
        <v/>
      </c>
      <c r="F157" s="9" t="str">
        <f>IF(COUNTIFS(funnel_events_sample!$A$2:$A$543,$A157,funnel_events_sample!$B$2:$B$543,"purchase_completed")=0,"",_xlfn.MINIFS(funnel_events_sample!$C$2:$C$543,funnel_events_sample!$A$2:$A$543,$A157,funnel_events_sample!$B$2:$B$543,"purchase_completed"))</f>
        <v/>
      </c>
      <c r="G157" s="11" t="str">
        <f t="shared" si="8"/>
        <v/>
      </c>
      <c r="H157" s="11" t="str">
        <f t="shared" si="9"/>
        <v/>
      </c>
      <c r="I157" s="11" t="str">
        <f t="shared" si="10"/>
        <v/>
      </c>
      <c r="J157" s="11" t="str">
        <f t="shared" si="11"/>
        <v/>
      </c>
    </row>
    <row r="158" spans="1:10">
      <c r="A158" s="3" t="s">
        <v>196</v>
      </c>
      <c r="B158" s="9">
        <f>IF(COUNTIFS(funnel_events_sample!$A$2:$A$543,$A158,funnel_events_sample!$B$2:$B$543,"visited_site")=0,"",_xlfn.MINIFS(funnel_events_sample!$C$2:$C$543,funnel_events_sample!$A$2:$A$543,$A158,funnel_events_sample!$B$2:$B$543,"visited_site"))</f>
        <v>46223.154166666667</v>
      </c>
      <c r="C158" s="9" t="str">
        <f>IF(COUNTIFS(funnel_events_sample!$A$2:$A$543,$A158,funnel_events_sample!$B$2:$B$543,"signup_started")=0,"",_xlfn.MINIFS(funnel_events_sample!$C$2:$C$543,funnel_events_sample!$A$2:$A$543,$A158,funnel_events_sample!$B$2:$B$543,"signup_started"))</f>
        <v/>
      </c>
      <c r="D158" s="9">
        <f>IF(COUNTIFS(funnel_events_sample!$A$2:$A$543,$A158,funnel_events_sample!$B$2:$B$543,"details_filled")=0,"",_xlfn.MINIFS(funnel_events_sample!$C$2:$C$543,funnel_events_sample!$A$2:$A$543,$A158,funnel_events_sample!$B$2:$B$543,"details_filled"))</f>
        <v>46223.169444444444</v>
      </c>
      <c r="E158" s="9" t="str">
        <f>IF(COUNTIFS(funnel_events_sample!$A$2:$A$543,$A158,funnel_events_sample!$B$2:$B$543,"email_verified")=0,"",_xlfn.MINIFS(funnel_events_sample!$C$2:$C$543,funnel_events_sample!$A$2:$A$543,$A158,funnel_events_sample!$B$2:$B$543,"email_verified"))</f>
        <v/>
      </c>
      <c r="F158" s="9" t="str">
        <f>IF(COUNTIFS(funnel_events_sample!$A$2:$A$543,$A158,funnel_events_sample!$B$2:$B$543,"purchase_completed")=0,"",_xlfn.MINIFS(funnel_events_sample!$C$2:$C$543,funnel_events_sample!$A$2:$A$543,$A158,funnel_events_sample!$B$2:$B$543,"purchase_completed"))</f>
        <v/>
      </c>
      <c r="G158" s="11" t="str">
        <f t="shared" si="8"/>
        <v/>
      </c>
      <c r="H158" s="11" t="str">
        <f t="shared" si="9"/>
        <v/>
      </c>
      <c r="I158" s="11" t="str">
        <f t="shared" si="10"/>
        <v/>
      </c>
      <c r="J158" s="11" t="str">
        <f t="shared" si="11"/>
        <v/>
      </c>
    </row>
    <row r="159" spans="1:10">
      <c r="A159" s="3" t="s">
        <v>67</v>
      </c>
      <c r="B159" s="9">
        <f>IF(COUNTIFS(funnel_events_sample!$A$2:$A$543,$A159,funnel_events_sample!$B$2:$B$543,"visited_site")=0,"",_xlfn.MINIFS(funnel_events_sample!$C$2:$C$543,funnel_events_sample!$A$2:$A$543,$A159,funnel_events_sample!$B$2:$B$543,"visited_site"))</f>
        <v>46223.167361111111</v>
      </c>
      <c r="C159" s="9" t="str">
        <f>IF(COUNTIFS(funnel_events_sample!$A$2:$A$543,$A159,funnel_events_sample!$B$2:$B$543,"signup_started")=0,"",_xlfn.MINIFS(funnel_events_sample!$C$2:$C$543,funnel_events_sample!$A$2:$A$543,$A159,funnel_events_sample!$B$2:$B$543,"signup_started"))</f>
        <v/>
      </c>
      <c r="D159" s="9">
        <f>IF(COUNTIFS(funnel_events_sample!$A$2:$A$543,$A159,funnel_events_sample!$B$2:$B$543,"details_filled")=0,"",_xlfn.MINIFS(funnel_events_sample!$C$2:$C$543,funnel_events_sample!$A$2:$A$543,$A159,funnel_events_sample!$B$2:$B$543,"details_filled"))</f>
        <v>46223.171527777777</v>
      </c>
      <c r="E159" s="9" t="str">
        <f>IF(COUNTIFS(funnel_events_sample!$A$2:$A$543,$A159,funnel_events_sample!$B$2:$B$543,"email_verified")=0,"",_xlfn.MINIFS(funnel_events_sample!$C$2:$C$543,funnel_events_sample!$A$2:$A$543,$A159,funnel_events_sample!$B$2:$B$543,"email_verified"))</f>
        <v/>
      </c>
      <c r="F159" s="9" t="str">
        <f>IF(COUNTIFS(funnel_events_sample!$A$2:$A$543,$A159,funnel_events_sample!$B$2:$B$543,"purchase_completed")=0,"",_xlfn.MINIFS(funnel_events_sample!$C$2:$C$543,funnel_events_sample!$A$2:$A$543,$A159,funnel_events_sample!$B$2:$B$543,"purchase_completed"))</f>
        <v/>
      </c>
      <c r="G159" s="11" t="str">
        <f t="shared" si="8"/>
        <v/>
      </c>
      <c r="H159" s="11" t="str">
        <f t="shared" si="9"/>
        <v/>
      </c>
      <c r="I159" s="11" t="str">
        <f t="shared" si="10"/>
        <v/>
      </c>
      <c r="J159" s="11" t="str">
        <f t="shared" si="11"/>
        <v/>
      </c>
    </row>
    <row r="160" spans="1:10">
      <c r="A160" s="3" t="s">
        <v>23</v>
      </c>
      <c r="B160" s="9">
        <f>IF(COUNTIFS(funnel_events_sample!$A$2:$A$543,$A160,funnel_events_sample!$B$2:$B$543,"visited_site")=0,"",_xlfn.MINIFS(funnel_events_sample!$C$2:$C$543,funnel_events_sample!$A$2:$A$543,$A160,funnel_events_sample!$B$2:$B$543,"visited_site"))</f>
        <v>46223.163888888892</v>
      </c>
      <c r="C160" s="9" t="str">
        <f>IF(COUNTIFS(funnel_events_sample!$A$2:$A$543,$A160,funnel_events_sample!$B$2:$B$543,"signup_started")=0,"",_xlfn.MINIFS(funnel_events_sample!$C$2:$C$543,funnel_events_sample!$A$2:$A$543,$A160,funnel_events_sample!$B$2:$B$543,"signup_started"))</f>
        <v/>
      </c>
      <c r="D160" s="9">
        <f>IF(COUNTIFS(funnel_events_sample!$A$2:$A$543,$A160,funnel_events_sample!$B$2:$B$543,"details_filled")=0,"",_xlfn.MINIFS(funnel_events_sample!$C$2:$C$543,funnel_events_sample!$A$2:$A$543,$A160,funnel_events_sample!$B$2:$B$543,"details_filled"))</f>
        <v>46223.186805555553</v>
      </c>
      <c r="E160" s="9" t="str">
        <f>IF(COUNTIFS(funnel_events_sample!$A$2:$A$543,$A160,funnel_events_sample!$B$2:$B$543,"email_verified")=0,"",_xlfn.MINIFS(funnel_events_sample!$C$2:$C$543,funnel_events_sample!$A$2:$A$543,$A160,funnel_events_sample!$B$2:$B$543,"email_verified"))</f>
        <v/>
      </c>
      <c r="F160" s="9" t="str">
        <f>IF(COUNTIFS(funnel_events_sample!$A$2:$A$543,$A160,funnel_events_sample!$B$2:$B$543,"purchase_completed")=0,"",_xlfn.MINIFS(funnel_events_sample!$C$2:$C$543,funnel_events_sample!$A$2:$A$543,$A160,funnel_events_sample!$B$2:$B$543,"purchase_completed"))</f>
        <v/>
      </c>
      <c r="G160" s="11" t="str">
        <f t="shared" si="8"/>
        <v/>
      </c>
      <c r="H160" s="11" t="str">
        <f t="shared" si="9"/>
        <v/>
      </c>
      <c r="I160" s="11" t="str">
        <f t="shared" si="10"/>
        <v/>
      </c>
      <c r="J160" s="11" t="str">
        <f t="shared" si="11"/>
        <v/>
      </c>
    </row>
    <row r="161" spans="1:10">
      <c r="A161" s="3" t="s">
        <v>142</v>
      </c>
      <c r="B161" s="9">
        <f>IF(COUNTIFS(funnel_events_sample!$A$2:$A$543,$A161,funnel_events_sample!$B$2:$B$543,"visited_site")=0,"",_xlfn.MINIFS(funnel_events_sample!$C$2:$C$543,funnel_events_sample!$A$2:$A$543,$A161,funnel_events_sample!$B$2:$B$543,"visited_site"))</f>
        <v>46223.162499999999</v>
      </c>
      <c r="C161" s="9" t="str">
        <f>IF(COUNTIFS(funnel_events_sample!$A$2:$A$543,$A161,funnel_events_sample!$B$2:$B$543,"signup_started")=0,"",_xlfn.MINIFS(funnel_events_sample!$C$2:$C$543,funnel_events_sample!$A$2:$A$543,$A161,funnel_events_sample!$B$2:$B$543,"signup_started"))</f>
        <v/>
      </c>
      <c r="D161" s="9">
        <f>IF(COUNTIFS(funnel_events_sample!$A$2:$A$543,$A161,funnel_events_sample!$B$2:$B$543,"details_filled")=0,"",_xlfn.MINIFS(funnel_events_sample!$C$2:$C$543,funnel_events_sample!$A$2:$A$543,$A161,funnel_events_sample!$B$2:$B$543,"details_filled"))</f>
        <v>46223.174305555556</v>
      </c>
      <c r="E161" s="9" t="str">
        <f>IF(COUNTIFS(funnel_events_sample!$A$2:$A$543,$A161,funnel_events_sample!$B$2:$B$543,"email_verified")=0,"",_xlfn.MINIFS(funnel_events_sample!$C$2:$C$543,funnel_events_sample!$A$2:$A$543,$A161,funnel_events_sample!$B$2:$B$543,"email_verified"))</f>
        <v/>
      </c>
      <c r="F161" s="9" t="str">
        <f>IF(COUNTIFS(funnel_events_sample!$A$2:$A$543,$A161,funnel_events_sample!$B$2:$B$543,"purchase_completed")=0,"",_xlfn.MINIFS(funnel_events_sample!$C$2:$C$543,funnel_events_sample!$A$2:$A$543,$A161,funnel_events_sample!$B$2:$B$543,"purchase_completed"))</f>
        <v/>
      </c>
      <c r="G161" s="11" t="str">
        <f t="shared" si="8"/>
        <v/>
      </c>
      <c r="H161" s="11" t="str">
        <f t="shared" si="9"/>
        <v/>
      </c>
      <c r="I161" s="11" t="str">
        <f t="shared" si="10"/>
        <v/>
      </c>
      <c r="J161" s="11" t="str">
        <f t="shared" si="11"/>
        <v/>
      </c>
    </row>
    <row r="162" spans="1:10">
      <c r="A162" s="3" t="s">
        <v>145</v>
      </c>
      <c r="B162" s="9">
        <f>IF(COUNTIFS(funnel_events_sample!$A$2:$A$543,$A162,funnel_events_sample!$B$2:$B$543,"visited_site")=0,"",_xlfn.MINIFS(funnel_events_sample!$C$2:$C$543,funnel_events_sample!$A$2:$A$543,$A162,funnel_events_sample!$B$2:$B$543,"visited_site"))</f>
        <v>46223.171527777777</v>
      </c>
      <c r="C162" s="9" t="str">
        <f>IF(COUNTIFS(funnel_events_sample!$A$2:$A$543,$A162,funnel_events_sample!$B$2:$B$543,"signup_started")=0,"",_xlfn.MINIFS(funnel_events_sample!$C$2:$C$543,funnel_events_sample!$A$2:$A$543,$A162,funnel_events_sample!$B$2:$B$543,"signup_started"))</f>
        <v/>
      </c>
      <c r="D162" s="9">
        <f>IF(COUNTIFS(funnel_events_sample!$A$2:$A$543,$A162,funnel_events_sample!$B$2:$B$543,"details_filled")=0,"",_xlfn.MINIFS(funnel_events_sample!$C$2:$C$543,funnel_events_sample!$A$2:$A$543,$A162,funnel_events_sample!$B$2:$B$543,"details_filled"))</f>
        <v>46223.191666666666</v>
      </c>
      <c r="E162" s="9" t="str">
        <f>IF(COUNTIFS(funnel_events_sample!$A$2:$A$543,$A162,funnel_events_sample!$B$2:$B$543,"email_verified")=0,"",_xlfn.MINIFS(funnel_events_sample!$C$2:$C$543,funnel_events_sample!$A$2:$A$543,$A162,funnel_events_sample!$B$2:$B$543,"email_verified"))</f>
        <v/>
      </c>
      <c r="F162" s="9" t="str">
        <f>IF(COUNTIFS(funnel_events_sample!$A$2:$A$543,$A162,funnel_events_sample!$B$2:$B$543,"purchase_completed")=0,"",_xlfn.MINIFS(funnel_events_sample!$C$2:$C$543,funnel_events_sample!$A$2:$A$543,$A162,funnel_events_sample!$B$2:$B$543,"purchase_completed"))</f>
        <v/>
      </c>
      <c r="G162" s="11" t="str">
        <f t="shared" si="8"/>
        <v/>
      </c>
      <c r="H162" s="11" t="str">
        <f t="shared" si="9"/>
        <v/>
      </c>
      <c r="I162" s="11" t="str">
        <f t="shared" si="10"/>
        <v/>
      </c>
      <c r="J162" s="11" t="str">
        <f t="shared" si="11"/>
        <v/>
      </c>
    </row>
    <row r="163" spans="1:10">
      <c r="A163" s="3" t="s">
        <v>62</v>
      </c>
      <c r="B163" s="9">
        <f>IF(COUNTIFS(funnel_events_sample!$A$2:$A$543,$A163,funnel_events_sample!$B$2:$B$543,"visited_site")=0,"",_xlfn.MINIFS(funnel_events_sample!$C$2:$C$543,funnel_events_sample!$A$2:$A$543,$A163,funnel_events_sample!$B$2:$B$543,"visited_site"))</f>
        <v>46223.169444444444</v>
      </c>
      <c r="C163" s="9" t="str">
        <f>IF(COUNTIFS(funnel_events_sample!$A$2:$A$543,$A163,funnel_events_sample!$B$2:$B$543,"signup_started")=0,"",_xlfn.MINIFS(funnel_events_sample!$C$2:$C$543,funnel_events_sample!$A$2:$A$543,$A163,funnel_events_sample!$B$2:$B$543,"signup_started"))</f>
        <v/>
      </c>
      <c r="D163" s="9">
        <f>IF(COUNTIFS(funnel_events_sample!$A$2:$A$543,$A163,funnel_events_sample!$B$2:$B$543,"details_filled")=0,"",_xlfn.MINIFS(funnel_events_sample!$C$2:$C$543,funnel_events_sample!$A$2:$A$543,$A163,funnel_events_sample!$B$2:$B$543,"details_filled"))</f>
        <v>46223.188888888886</v>
      </c>
      <c r="E163" s="9" t="str">
        <f>IF(COUNTIFS(funnel_events_sample!$A$2:$A$543,$A163,funnel_events_sample!$B$2:$B$543,"email_verified")=0,"",_xlfn.MINIFS(funnel_events_sample!$C$2:$C$543,funnel_events_sample!$A$2:$A$543,$A163,funnel_events_sample!$B$2:$B$543,"email_verified"))</f>
        <v/>
      </c>
      <c r="F163" s="9" t="str">
        <f>IF(COUNTIFS(funnel_events_sample!$A$2:$A$543,$A163,funnel_events_sample!$B$2:$B$543,"purchase_completed")=0,"",_xlfn.MINIFS(funnel_events_sample!$C$2:$C$543,funnel_events_sample!$A$2:$A$543,$A163,funnel_events_sample!$B$2:$B$543,"purchase_completed"))</f>
        <v/>
      </c>
      <c r="G163" s="11" t="str">
        <f t="shared" si="8"/>
        <v/>
      </c>
      <c r="H163" s="11" t="str">
        <f t="shared" si="9"/>
        <v/>
      </c>
      <c r="I163" s="11" t="str">
        <f t="shared" si="10"/>
        <v/>
      </c>
      <c r="J163" s="11" t="str">
        <f t="shared" si="11"/>
        <v/>
      </c>
    </row>
    <row r="164" spans="1:10">
      <c r="A164" s="3" t="s">
        <v>96</v>
      </c>
      <c r="B164" s="9">
        <f>IF(COUNTIFS(funnel_events_sample!$A$2:$A$543,$A164,funnel_events_sample!$B$2:$B$543,"visited_site")=0,"",_xlfn.MINIFS(funnel_events_sample!$C$2:$C$543,funnel_events_sample!$A$2:$A$543,$A164,funnel_events_sample!$B$2:$B$543,"visited_site"))</f>
        <v>46223.150694444441</v>
      </c>
      <c r="C164" s="9" t="str">
        <f>IF(COUNTIFS(funnel_events_sample!$A$2:$A$543,$A164,funnel_events_sample!$B$2:$B$543,"signup_started")=0,"",_xlfn.MINIFS(funnel_events_sample!$C$2:$C$543,funnel_events_sample!$A$2:$A$543,$A164,funnel_events_sample!$B$2:$B$543,"signup_started"))</f>
        <v/>
      </c>
      <c r="D164" s="9">
        <f>IF(COUNTIFS(funnel_events_sample!$A$2:$A$543,$A164,funnel_events_sample!$B$2:$B$543,"details_filled")=0,"",_xlfn.MINIFS(funnel_events_sample!$C$2:$C$543,funnel_events_sample!$A$2:$A$543,$A164,funnel_events_sample!$B$2:$B$543,"details_filled"))</f>
        <v>46223.171527777777</v>
      </c>
      <c r="E164" s="9" t="str">
        <f>IF(COUNTIFS(funnel_events_sample!$A$2:$A$543,$A164,funnel_events_sample!$B$2:$B$543,"email_verified")=0,"",_xlfn.MINIFS(funnel_events_sample!$C$2:$C$543,funnel_events_sample!$A$2:$A$543,$A164,funnel_events_sample!$B$2:$B$543,"email_verified"))</f>
        <v/>
      </c>
      <c r="F164" s="9" t="str">
        <f>IF(COUNTIFS(funnel_events_sample!$A$2:$A$543,$A164,funnel_events_sample!$B$2:$B$543,"purchase_completed")=0,"",_xlfn.MINIFS(funnel_events_sample!$C$2:$C$543,funnel_events_sample!$A$2:$A$543,$A164,funnel_events_sample!$B$2:$B$543,"purchase_completed"))</f>
        <v/>
      </c>
      <c r="G164" s="11" t="str">
        <f t="shared" si="8"/>
        <v/>
      </c>
      <c r="H164" s="11" t="str">
        <f t="shared" si="9"/>
        <v/>
      </c>
      <c r="I164" s="11" t="str">
        <f t="shared" si="10"/>
        <v/>
      </c>
      <c r="J164" s="11" t="str">
        <f t="shared" si="11"/>
        <v/>
      </c>
    </row>
    <row r="165" spans="1:10">
      <c r="A165" s="3" t="s">
        <v>58</v>
      </c>
      <c r="B165" s="9">
        <f>IF(COUNTIFS(funnel_events_sample!$A$2:$A$543,$A165,funnel_events_sample!$B$2:$B$543,"visited_site")=0,"",_xlfn.MINIFS(funnel_events_sample!$C$2:$C$543,funnel_events_sample!$A$2:$A$543,$A165,funnel_events_sample!$B$2:$B$543,"visited_site"))</f>
        <v>46223.15347222222</v>
      </c>
      <c r="C165" s="9" t="str">
        <f>IF(COUNTIFS(funnel_events_sample!$A$2:$A$543,$A165,funnel_events_sample!$B$2:$B$543,"signup_started")=0,"",_xlfn.MINIFS(funnel_events_sample!$C$2:$C$543,funnel_events_sample!$A$2:$A$543,$A165,funnel_events_sample!$B$2:$B$543,"signup_started"))</f>
        <v/>
      </c>
      <c r="D165" s="9">
        <f>IF(COUNTIFS(funnel_events_sample!$A$2:$A$543,$A165,funnel_events_sample!$B$2:$B$543,"details_filled")=0,"",_xlfn.MINIFS(funnel_events_sample!$C$2:$C$543,funnel_events_sample!$A$2:$A$543,$A165,funnel_events_sample!$B$2:$B$543,"details_filled"))</f>
        <v>46223.178472222222</v>
      </c>
      <c r="E165" s="9" t="str">
        <f>IF(COUNTIFS(funnel_events_sample!$A$2:$A$543,$A165,funnel_events_sample!$B$2:$B$543,"email_verified")=0,"",_xlfn.MINIFS(funnel_events_sample!$C$2:$C$543,funnel_events_sample!$A$2:$A$543,$A165,funnel_events_sample!$B$2:$B$543,"email_verified"))</f>
        <v/>
      </c>
      <c r="F165" s="9" t="str">
        <f>IF(COUNTIFS(funnel_events_sample!$A$2:$A$543,$A165,funnel_events_sample!$B$2:$B$543,"purchase_completed")=0,"",_xlfn.MINIFS(funnel_events_sample!$C$2:$C$543,funnel_events_sample!$A$2:$A$543,$A165,funnel_events_sample!$B$2:$B$543,"purchase_completed"))</f>
        <v/>
      </c>
      <c r="G165" s="11" t="str">
        <f t="shared" si="8"/>
        <v/>
      </c>
      <c r="H165" s="11" t="str">
        <f t="shared" si="9"/>
        <v/>
      </c>
      <c r="I165" s="11" t="str">
        <f t="shared" si="10"/>
        <v/>
      </c>
      <c r="J165" s="11" t="str">
        <f t="shared" si="11"/>
        <v/>
      </c>
    </row>
    <row r="166" spans="1:10">
      <c r="A166" s="3" t="s">
        <v>172</v>
      </c>
      <c r="B166" s="9">
        <f>IF(COUNTIFS(funnel_events_sample!$A$2:$A$543,$A166,funnel_events_sample!$B$2:$B$543,"visited_site")=0,"",_xlfn.MINIFS(funnel_events_sample!$C$2:$C$543,funnel_events_sample!$A$2:$A$543,$A166,funnel_events_sample!$B$2:$B$543,"visited_site"))</f>
        <v>46223.163194444445</v>
      </c>
      <c r="C166" s="9" t="str">
        <f>IF(COUNTIFS(funnel_events_sample!$A$2:$A$543,$A166,funnel_events_sample!$B$2:$B$543,"signup_started")=0,"",_xlfn.MINIFS(funnel_events_sample!$C$2:$C$543,funnel_events_sample!$A$2:$A$543,$A166,funnel_events_sample!$B$2:$B$543,"signup_started"))</f>
        <v/>
      </c>
      <c r="D166" s="9">
        <f>IF(COUNTIFS(funnel_events_sample!$A$2:$A$543,$A166,funnel_events_sample!$B$2:$B$543,"details_filled")=0,"",_xlfn.MINIFS(funnel_events_sample!$C$2:$C$543,funnel_events_sample!$A$2:$A$543,$A166,funnel_events_sample!$B$2:$B$543,"details_filled"))</f>
        <v>46223.180555555555</v>
      </c>
      <c r="E166" s="9" t="str">
        <f>IF(COUNTIFS(funnel_events_sample!$A$2:$A$543,$A166,funnel_events_sample!$B$2:$B$543,"email_verified")=0,"",_xlfn.MINIFS(funnel_events_sample!$C$2:$C$543,funnel_events_sample!$A$2:$A$543,$A166,funnel_events_sample!$B$2:$B$543,"email_verified"))</f>
        <v/>
      </c>
      <c r="F166" s="9" t="str">
        <f>IF(COUNTIFS(funnel_events_sample!$A$2:$A$543,$A166,funnel_events_sample!$B$2:$B$543,"purchase_completed")=0,"",_xlfn.MINIFS(funnel_events_sample!$C$2:$C$543,funnel_events_sample!$A$2:$A$543,$A166,funnel_events_sample!$B$2:$B$543,"purchase_completed"))</f>
        <v/>
      </c>
      <c r="G166" s="11" t="str">
        <f t="shared" si="8"/>
        <v/>
      </c>
      <c r="H166" s="11" t="str">
        <f t="shared" si="9"/>
        <v/>
      </c>
      <c r="I166" s="11" t="str">
        <f t="shared" si="10"/>
        <v/>
      </c>
      <c r="J166" s="11" t="str">
        <f t="shared" si="11"/>
        <v/>
      </c>
    </row>
    <row r="167" spans="1:10">
      <c r="A167" s="3" t="s">
        <v>25</v>
      </c>
      <c r="B167" s="9">
        <f>IF(COUNTIFS(funnel_events_sample!$A$2:$A$543,$A167,funnel_events_sample!$B$2:$B$543,"visited_site")=0,"",_xlfn.MINIFS(funnel_events_sample!$C$2:$C$543,funnel_events_sample!$A$2:$A$543,$A167,funnel_events_sample!$B$2:$B$543,"visited_site"))</f>
        <v>46223.147916666669</v>
      </c>
      <c r="C167" s="9" t="str">
        <f>IF(COUNTIFS(funnel_events_sample!$A$2:$A$543,$A167,funnel_events_sample!$B$2:$B$543,"signup_started")=0,"",_xlfn.MINIFS(funnel_events_sample!$C$2:$C$543,funnel_events_sample!$A$2:$A$543,$A167,funnel_events_sample!$B$2:$B$543,"signup_started"))</f>
        <v/>
      </c>
      <c r="D167" s="9">
        <f>IF(COUNTIFS(funnel_events_sample!$A$2:$A$543,$A167,funnel_events_sample!$B$2:$B$543,"details_filled")=0,"",_xlfn.MINIFS(funnel_events_sample!$C$2:$C$543,funnel_events_sample!$A$2:$A$543,$A167,funnel_events_sample!$B$2:$B$543,"details_filled"))</f>
        <v>46223.171527777777</v>
      </c>
      <c r="E167" s="9" t="str">
        <f>IF(COUNTIFS(funnel_events_sample!$A$2:$A$543,$A167,funnel_events_sample!$B$2:$B$543,"email_verified")=0,"",_xlfn.MINIFS(funnel_events_sample!$C$2:$C$543,funnel_events_sample!$A$2:$A$543,$A167,funnel_events_sample!$B$2:$B$543,"email_verified"))</f>
        <v/>
      </c>
      <c r="F167" s="9" t="str">
        <f>IF(COUNTIFS(funnel_events_sample!$A$2:$A$543,$A167,funnel_events_sample!$B$2:$B$543,"purchase_completed")=0,"",_xlfn.MINIFS(funnel_events_sample!$C$2:$C$543,funnel_events_sample!$A$2:$A$543,$A167,funnel_events_sample!$B$2:$B$543,"purchase_completed"))</f>
        <v/>
      </c>
      <c r="G167" s="11" t="str">
        <f t="shared" si="8"/>
        <v/>
      </c>
      <c r="H167" s="11" t="str">
        <f t="shared" si="9"/>
        <v/>
      </c>
      <c r="I167" s="11" t="str">
        <f t="shared" si="10"/>
        <v/>
      </c>
      <c r="J167" s="11" t="str">
        <f t="shared" si="11"/>
        <v/>
      </c>
    </row>
    <row r="168" spans="1:10">
      <c r="A168" s="3" t="s">
        <v>173</v>
      </c>
      <c r="B168" s="9">
        <f>IF(COUNTIFS(funnel_events_sample!$A$2:$A$543,$A168,funnel_events_sample!$B$2:$B$543,"visited_site")=0,"",_xlfn.MINIFS(funnel_events_sample!$C$2:$C$543,funnel_events_sample!$A$2:$A$543,$A168,funnel_events_sample!$B$2:$B$543,"visited_site"))</f>
        <v>46223.169444444444</v>
      </c>
      <c r="C168" s="9" t="str">
        <f>IF(COUNTIFS(funnel_events_sample!$A$2:$A$543,$A168,funnel_events_sample!$B$2:$B$543,"signup_started")=0,"",_xlfn.MINIFS(funnel_events_sample!$C$2:$C$543,funnel_events_sample!$A$2:$A$543,$A168,funnel_events_sample!$B$2:$B$543,"signup_started"))</f>
        <v/>
      </c>
      <c r="D168" s="9">
        <f>IF(COUNTIFS(funnel_events_sample!$A$2:$A$543,$A168,funnel_events_sample!$B$2:$B$543,"details_filled")=0,"",_xlfn.MINIFS(funnel_events_sample!$C$2:$C$543,funnel_events_sample!$A$2:$A$543,$A168,funnel_events_sample!$B$2:$B$543,"details_filled"))</f>
        <v>46223.179861111108</v>
      </c>
      <c r="E168" s="9" t="str">
        <f>IF(COUNTIFS(funnel_events_sample!$A$2:$A$543,$A168,funnel_events_sample!$B$2:$B$543,"email_verified")=0,"",_xlfn.MINIFS(funnel_events_sample!$C$2:$C$543,funnel_events_sample!$A$2:$A$543,$A168,funnel_events_sample!$B$2:$B$543,"email_verified"))</f>
        <v/>
      </c>
      <c r="F168" s="9" t="str">
        <f>IF(COUNTIFS(funnel_events_sample!$A$2:$A$543,$A168,funnel_events_sample!$B$2:$B$543,"purchase_completed")=0,"",_xlfn.MINIFS(funnel_events_sample!$C$2:$C$543,funnel_events_sample!$A$2:$A$543,$A168,funnel_events_sample!$B$2:$B$543,"purchase_completed"))</f>
        <v/>
      </c>
      <c r="G168" s="11" t="str">
        <f t="shared" si="8"/>
        <v/>
      </c>
      <c r="H168" s="11" t="str">
        <f t="shared" si="9"/>
        <v/>
      </c>
      <c r="I168" s="11" t="str">
        <f t="shared" si="10"/>
        <v/>
      </c>
      <c r="J168" s="11" t="str">
        <f t="shared" si="11"/>
        <v/>
      </c>
    </row>
    <row r="169" spans="1:10">
      <c r="A169" s="3" t="s">
        <v>100</v>
      </c>
      <c r="B169" s="9">
        <f>IF(COUNTIFS(funnel_events_sample!$A$2:$A$543,$A169,funnel_events_sample!$B$2:$B$543,"visited_site")=0,"",_xlfn.MINIFS(funnel_events_sample!$C$2:$C$543,funnel_events_sample!$A$2:$A$543,$A169,funnel_events_sample!$B$2:$B$543,"visited_site"))</f>
        <v>46223.147916666669</v>
      </c>
      <c r="C169" s="9" t="str">
        <f>IF(COUNTIFS(funnel_events_sample!$A$2:$A$543,$A169,funnel_events_sample!$B$2:$B$543,"signup_started")=0,"",_xlfn.MINIFS(funnel_events_sample!$C$2:$C$543,funnel_events_sample!$A$2:$A$543,$A169,funnel_events_sample!$B$2:$B$543,"signup_started"))</f>
        <v/>
      </c>
      <c r="D169" s="9">
        <f>IF(COUNTIFS(funnel_events_sample!$A$2:$A$543,$A169,funnel_events_sample!$B$2:$B$543,"details_filled")=0,"",_xlfn.MINIFS(funnel_events_sample!$C$2:$C$543,funnel_events_sample!$A$2:$A$543,$A169,funnel_events_sample!$B$2:$B$543,"details_filled"))</f>
        <v>46223.191666666666</v>
      </c>
      <c r="E169" s="9" t="str">
        <f>IF(COUNTIFS(funnel_events_sample!$A$2:$A$543,$A169,funnel_events_sample!$B$2:$B$543,"email_verified")=0,"",_xlfn.MINIFS(funnel_events_sample!$C$2:$C$543,funnel_events_sample!$A$2:$A$543,$A169,funnel_events_sample!$B$2:$B$543,"email_verified"))</f>
        <v/>
      </c>
      <c r="F169" s="9" t="str">
        <f>IF(COUNTIFS(funnel_events_sample!$A$2:$A$543,$A169,funnel_events_sample!$B$2:$B$543,"purchase_completed")=0,"",_xlfn.MINIFS(funnel_events_sample!$C$2:$C$543,funnel_events_sample!$A$2:$A$543,$A169,funnel_events_sample!$B$2:$B$543,"purchase_completed"))</f>
        <v/>
      </c>
      <c r="G169" s="11" t="str">
        <f t="shared" si="8"/>
        <v/>
      </c>
      <c r="H169" s="11" t="str">
        <f t="shared" si="9"/>
        <v/>
      </c>
      <c r="I169" s="11" t="str">
        <f t="shared" si="10"/>
        <v/>
      </c>
      <c r="J169" s="11" t="str">
        <f t="shared" si="11"/>
        <v/>
      </c>
    </row>
    <row r="170" spans="1:10">
      <c r="A170" s="3" t="s">
        <v>86</v>
      </c>
      <c r="B170" s="9">
        <f>IF(COUNTIFS(funnel_events_sample!$A$2:$A$543,$A170,funnel_events_sample!$B$2:$B$543,"visited_site")=0,"",_xlfn.MINIFS(funnel_events_sample!$C$2:$C$543,funnel_events_sample!$A$2:$A$543,$A170,funnel_events_sample!$B$2:$B$543,"visited_site"))</f>
        <v>46223.149305555555</v>
      </c>
      <c r="C170" s="9" t="str">
        <f>IF(COUNTIFS(funnel_events_sample!$A$2:$A$543,$A170,funnel_events_sample!$B$2:$B$543,"signup_started")=0,"",_xlfn.MINIFS(funnel_events_sample!$C$2:$C$543,funnel_events_sample!$A$2:$A$543,$A170,funnel_events_sample!$B$2:$B$543,"signup_started"))</f>
        <v/>
      </c>
      <c r="D170" s="9">
        <f>IF(COUNTIFS(funnel_events_sample!$A$2:$A$543,$A170,funnel_events_sample!$B$2:$B$543,"details_filled")=0,"",_xlfn.MINIFS(funnel_events_sample!$C$2:$C$543,funnel_events_sample!$A$2:$A$543,$A170,funnel_events_sample!$B$2:$B$543,"details_filled"))</f>
        <v>46223.193749999999</v>
      </c>
      <c r="E170" s="9" t="str">
        <f>IF(COUNTIFS(funnel_events_sample!$A$2:$A$543,$A170,funnel_events_sample!$B$2:$B$543,"email_verified")=0,"",_xlfn.MINIFS(funnel_events_sample!$C$2:$C$543,funnel_events_sample!$A$2:$A$543,$A170,funnel_events_sample!$B$2:$B$543,"email_verified"))</f>
        <v/>
      </c>
      <c r="F170" s="9" t="str">
        <f>IF(COUNTIFS(funnel_events_sample!$A$2:$A$543,$A170,funnel_events_sample!$B$2:$B$543,"purchase_completed")=0,"",_xlfn.MINIFS(funnel_events_sample!$C$2:$C$543,funnel_events_sample!$A$2:$A$543,$A170,funnel_events_sample!$B$2:$B$543,"purchase_completed"))</f>
        <v/>
      </c>
      <c r="G170" s="11" t="str">
        <f t="shared" si="8"/>
        <v/>
      </c>
      <c r="H170" s="11" t="str">
        <f t="shared" si="9"/>
        <v/>
      </c>
      <c r="I170" s="11" t="str">
        <f t="shared" si="10"/>
        <v/>
      </c>
      <c r="J170" s="11" t="str">
        <f t="shared" si="11"/>
        <v/>
      </c>
    </row>
    <row r="171" spans="1:10">
      <c r="A171" s="3" t="s">
        <v>17</v>
      </c>
      <c r="B171" s="9">
        <f>IF(COUNTIFS(funnel_events_sample!$A$2:$A$543,$A171,funnel_events_sample!$B$2:$B$543,"visited_site")=0,"",_xlfn.MINIFS(funnel_events_sample!$C$2:$C$543,funnel_events_sample!$A$2:$A$543,$A171,funnel_events_sample!$B$2:$B$543,"visited_site"))</f>
        <v>46223.152777777781</v>
      </c>
      <c r="C171" s="9" t="str">
        <f>IF(COUNTIFS(funnel_events_sample!$A$2:$A$543,$A171,funnel_events_sample!$B$2:$B$543,"signup_started")=0,"",_xlfn.MINIFS(funnel_events_sample!$C$2:$C$543,funnel_events_sample!$A$2:$A$543,$A171,funnel_events_sample!$B$2:$B$543,"signup_started"))</f>
        <v/>
      </c>
      <c r="D171" s="9">
        <f>IF(COUNTIFS(funnel_events_sample!$A$2:$A$543,$A171,funnel_events_sample!$B$2:$B$543,"details_filled")=0,"",_xlfn.MINIFS(funnel_events_sample!$C$2:$C$543,funnel_events_sample!$A$2:$A$543,$A171,funnel_events_sample!$B$2:$B$543,"details_filled"))</f>
        <v>46223.174305555556</v>
      </c>
      <c r="E171" s="9" t="str">
        <f>IF(COUNTIFS(funnel_events_sample!$A$2:$A$543,$A171,funnel_events_sample!$B$2:$B$543,"email_verified")=0,"",_xlfn.MINIFS(funnel_events_sample!$C$2:$C$543,funnel_events_sample!$A$2:$A$543,$A171,funnel_events_sample!$B$2:$B$543,"email_verified"))</f>
        <v/>
      </c>
      <c r="F171" s="9" t="str">
        <f>IF(COUNTIFS(funnel_events_sample!$A$2:$A$543,$A171,funnel_events_sample!$B$2:$B$543,"purchase_completed")=0,"",_xlfn.MINIFS(funnel_events_sample!$C$2:$C$543,funnel_events_sample!$A$2:$A$543,$A171,funnel_events_sample!$B$2:$B$543,"purchase_completed"))</f>
        <v/>
      </c>
      <c r="G171" s="11" t="str">
        <f t="shared" si="8"/>
        <v/>
      </c>
      <c r="H171" s="11" t="str">
        <f t="shared" si="9"/>
        <v/>
      </c>
      <c r="I171" s="11" t="str">
        <f t="shared" si="10"/>
        <v/>
      </c>
      <c r="J171" s="11" t="str">
        <f t="shared" si="11"/>
        <v/>
      </c>
    </row>
    <row r="172" spans="1:10">
      <c r="A172" s="3" t="s">
        <v>160</v>
      </c>
      <c r="B172" s="9">
        <f>IF(COUNTIFS(funnel_events_sample!$A$2:$A$543,$A172,funnel_events_sample!$B$2:$B$543,"visited_site")=0,"",_xlfn.MINIFS(funnel_events_sample!$C$2:$C$543,funnel_events_sample!$A$2:$A$543,$A172,funnel_events_sample!$B$2:$B$543,"visited_site"))</f>
        <v>46223.152777777781</v>
      </c>
      <c r="C172" s="9" t="str">
        <f>IF(COUNTIFS(funnel_events_sample!$A$2:$A$543,$A172,funnel_events_sample!$B$2:$B$543,"signup_started")=0,"",_xlfn.MINIFS(funnel_events_sample!$C$2:$C$543,funnel_events_sample!$A$2:$A$543,$A172,funnel_events_sample!$B$2:$B$543,"signup_started"))</f>
        <v/>
      </c>
      <c r="D172" s="9">
        <f>IF(COUNTIFS(funnel_events_sample!$A$2:$A$543,$A172,funnel_events_sample!$B$2:$B$543,"details_filled")=0,"",_xlfn.MINIFS(funnel_events_sample!$C$2:$C$543,funnel_events_sample!$A$2:$A$543,$A172,funnel_events_sample!$B$2:$B$543,"details_filled"))</f>
        <v>46223.190972222219</v>
      </c>
      <c r="E172" s="9" t="str">
        <f>IF(COUNTIFS(funnel_events_sample!$A$2:$A$543,$A172,funnel_events_sample!$B$2:$B$543,"email_verified")=0,"",_xlfn.MINIFS(funnel_events_sample!$C$2:$C$543,funnel_events_sample!$A$2:$A$543,$A172,funnel_events_sample!$B$2:$B$543,"email_verified"))</f>
        <v/>
      </c>
      <c r="F172" s="9" t="str">
        <f>IF(COUNTIFS(funnel_events_sample!$A$2:$A$543,$A172,funnel_events_sample!$B$2:$B$543,"purchase_completed")=0,"",_xlfn.MINIFS(funnel_events_sample!$C$2:$C$543,funnel_events_sample!$A$2:$A$543,$A172,funnel_events_sample!$B$2:$B$543,"purchase_completed"))</f>
        <v/>
      </c>
      <c r="G172" s="11" t="str">
        <f t="shared" si="8"/>
        <v/>
      </c>
      <c r="H172" s="11" t="str">
        <f t="shared" si="9"/>
        <v/>
      </c>
      <c r="I172" s="11" t="str">
        <f t="shared" si="10"/>
        <v/>
      </c>
      <c r="J172" s="11" t="str">
        <f t="shared" si="11"/>
        <v/>
      </c>
    </row>
    <row r="173" spans="1:10">
      <c r="A173" s="3" t="s">
        <v>81</v>
      </c>
      <c r="B173" s="9">
        <f>IF(COUNTIFS(funnel_events_sample!$A$2:$A$543,$A173,funnel_events_sample!$B$2:$B$543,"visited_site")=0,"",_xlfn.MINIFS(funnel_events_sample!$C$2:$C$543,funnel_events_sample!$A$2:$A$543,$A173,funnel_events_sample!$B$2:$B$543,"visited_site"))</f>
        <v>46223.149305555555</v>
      </c>
      <c r="C173" s="9" t="str">
        <f>IF(COUNTIFS(funnel_events_sample!$A$2:$A$543,$A173,funnel_events_sample!$B$2:$B$543,"signup_started")=0,"",_xlfn.MINIFS(funnel_events_sample!$C$2:$C$543,funnel_events_sample!$A$2:$A$543,$A173,funnel_events_sample!$B$2:$B$543,"signup_started"))</f>
        <v/>
      </c>
      <c r="D173" s="9">
        <f>IF(COUNTIFS(funnel_events_sample!$A$2:$A$543,$A173,funnel_events_sample!$B$2:$B$543,"details_filled")=0,"",_xlfn.MINIFS(funnel_events_sample!$C$2:$C$543,funnel_events_sample!$A$2:$A$543,$A173,funnel_events_sample!$B$2:$B$543,"details_filled"))</f>
        <v>46223.171527777777</v>
      </c>
      <c r="E173" s="9" t="str">
        <f>IF(COUNTIFS(funnel_events_sample!$A$2:$A$543,$A173,funnel_events_sample!$B$2:$B$543,"email_verified")=0,"",_xlfn.MINIFS(funnel_events_sample!$C$2:$C$543,funnel_events_sample!$A$2:$A$543,$A173,funnel_events_sample!$B$2:$B$543,"email_verified"))</f>
        <v/>
      </c>
      <c r="F173" s="9" t="str">
        <f>IF(COUNTIFS(funnel_events_sample!$A$2:$A$543,$A173,funnel_events_sample!$B$2:$B$543,"purchase_completed")=0,"",_xlfn.MINIFS(funnel_events_sample!$C$2:$C$543,funnel_events_sample!$A$2:$A$543,$A173,funnel_events_sample!$B$2:$B$543,"purchase_completed"))</f>
        <v/>
      </c>
      <c r="G173" s="11" t="str">
        <f t="shared" si="8"/>
        <v/>
      </c>
      <c r="H173" s="11" t="str">
        <f t="shared" si="9"/>
        <v/>
      </c>
      <c r="I173" s="11" t="str">
        <f t="shared" si="10"/>
        <v/>
      </c>
      <c r="J173" s="11" t="str">
        <f t="shared" si="11"/>
        <v/>
      </c>
    </row>
    <row r="174" spans="1:10">
      <c r="A174" s="3" t="s">
        <v>179</v>
      </c>
      <c r="B174" s="9">
        <f>IF(COUNTIFS(funnel_events_sample!$A$2:$A$543,$A174,funnel_events_sample!$B$2:$B$543,"visited_site")=0,"",_xlfn.MINIFS(funnel_events_sample!$C$2:$C$543,funnel_events_sample!$A$2:$A$543,$A174,funnel_events_sample!$B$2:$B$543,"visited_site"))</f>
        <v>46223.160416666666</v>
      </c>
      <c r="C174" s="9" t="str">
        <f>IF(COUNTIFS(funnel_events_sample!$A$2:$A$543,$A174,funnel_events_sample!$B$2:$B$543,"signup_started")=0,"",_xlfn.MINIFS(funnel_events_sample!$C$2:$C$543,funnel_events_sample!$A$2:$A$543,$A174,funnel_events_sample!$B$2:$B$543,"signup_started"))</f>
        <v/>
      </c>
      <c r="D174" s="9">
        <f>IF(COUNTIFS(funnel_events_sample!$A$2:$A$543,$A174,funnel_events_sample!$B$2:$B$543,"details_filled")=0,"",_xlfn.MINIFS(funnel_events_sample!$C$2:$C$543,funnel_events_sample!$A$2:$A$543,$A174,funnel_events_sample!$B$2:$B$543,"details_filled"))</f>
        <v>46223.168055555558</v>
      </c>
      <c r="E174" s="9" t="str">
        <f>IF(COUNTIFS(funnel_events_sample!$A$2:$A$543,$A174,funnel_events_sample!$B$2:$B$543,"email_verified")=0,"",_xlfn.MINIFS(funnel_events_sample!$C$2:$C$543,funnel_events_sample!$A$2:$A$543,$A174,funnel_events_sample!$B$2:$B$543,"email_verified"))</f>
        <v/>
      </c>
      <c r="F174" s="9" t="str">
        <f>IF(COUNTIFS(funnel_events_sample!$A$2:$A$543,$A174,funnel_events_sample!$B$2:$B$543,"purchase_completed")=0,"",_xlfn.MINIFS(funnel_events_sample!$C$2:$C$543,funnel_events_sample!$A$2:$A$543,$A174,funnel_events_sample!$B$2:$B$543,"purchase_completed"))</f>
        <v/>
      </c>
      <c r="G174" s="11" t="str">
        <f t="shared" si="8"/>
        <v/>
      </c>
      <c r="H174" s="11" t="str">
        <f t="shared" si="9"/>
        <v/>
      </c>
      <c r="I174" s="11" t="str">
        <f t="shared" si="10"/>
        <v/>
      </c>
      <c r="J174" s="11" t="str">
        <f t="shared" si="11"/>
        <v/>
      </c>
    </row>
    <row r="175" spans="1:10">
      <c r="A175" s="3" t="s">
        <v>207</v>
      </c>
      <c r="B175" s="9">
        <f>IF(COUNTIFS(funnel_events_sample!$A$2:$A$543,$A175,funnel_events_sample!$B$2:$B$543,"visited_site")=0,"",_xlfn.MINIFS(funnel_events_sample!$C$2:$C$543,funnel_events_sample!$A$2:$A$543,$A175,funnel_events_sample!$B$2:$B$543,"visited_site"))</f>
        <v>46223.164583333331</v>
      </c>
      <c r="C175" s="9" t="str">
        <f>IF(COUNTIFS(funnel_events_sample!$A$2:$A$543,$A175,funnel_events_sample!$B$2:$B$543,"signup_started")=0,"",_xlfn.MINIFS(funnel_events_sample!$C$2:$C$543,funnel_events_sample!$A$2:$A$543,$A175,funnel_events_sample!$B$2:$B$543,"signup_started"))</f>
        <v/>
      </c>
      <c r="D175" s="9">
        <f>IF(COUNTIFS(funnel_events_sample!$A$2:$A$543,$A175,funnel_events_sample!$B$2:$B$543,"details_filled")=0,"",_xlfn.MINIFS(funnel_events_sample!$C$2:$C$543,funnel_events_sample!$A$2:$A$543,$A175,funnel_events_sample!$B$2:$B$543,"details_filled"))</f>
        <v>46223.182638888888</v>
      </c>
      <c r="E175" s="9" t="str">
        <f>IF(COUNTIFS(funnel_events_sample!$A$2:$A$543,$A175,funnel_events_sample!$B$2:$B$543,"email_verified")=0,"",_xlfn.MINIFS(funnel_events_sample!$C$2:$C$543,funnel_events_sample!$A$2:$A$543,$A175,funnel_events_sample!$B$2:$B$543,"email_verified"))</f>
        <v/>
      </c>
      <c r="F175" s="9" t="str">
        <f>IF(COUNTIFS(funnel_events_sample!$A$2:$A$543,$A175,funnel_events_sample!$B$2:$B$543,"purchase_completed")=0,"",_xlfn.MINIFS(funnel_events_sample!$C$2:$C$543,funnel_events_sample!$A$2:$A$543,$A175,funnel_events_sample!$B$2:$B$543,"purchase_completed"))</f>
        <v/>
      </c>
      <c r="G175" s="11" t="str">
        <f t="shared" si="8"/>
        <v/>
      </c>
      <c r="H175" s="11" t="str">
        <f t="shared" si="9"/>
        <v/>
      </c>
      <c r="I175" s="11" t="str">
        <f t="shared" si="10"/>
        <v/>
      </c>
      <c r="J175" s="11" t="str">
        <f t="shared" si="11"/>
        <v/>
      </c>
    </row>
    <row r="176" spans="1:10">
      <c r="A176" s="3" t="s">
        <v>144</v>
      </c>
      <c r="B176" s="9">
        <f>IF(COUNTIFS(funnel_events_sample!$A$2:$A$543,$A176,funnel_events_sample!$B$2:$B$543,"visited_site")=0,"",_xlfn.MINIFS(funnel_events_sample!$C$2:$C$543,funnel_events_sample!$A$2:$A$543,$A176,funnel_events_sample!$B$2:$B$543,"visited_site"))</f>
        <v>46223.15902777778</v>
      </c>
      <c r="C176" s="9" t="str">
        <f>IF(COUNTIFS(funnel_events_sample!$A$2:$A$543,$A176,funnel_events_sample!$B$2:$B$543,"signup_started")=0,"",_xlfn.MINIFS(funnel_events_sample!$C$2:$C$543,funnel_events_sample!$A$2:$A$543,$A176,funnel_events_sample!$B$2:$B$543,"signup_started"))</f>
        <v/>
      </c>
      <c r="D176" s="9">
        <f>IF(COUNTIFS(funnel_events_sample!$A$2:$A$543,$A176,funnel_events_sample!$B$2:$B$543,"details_filled")=0,"",_xlfn.MINIFS(funnel_events_sample!$C$2:$C$543,funnel_events_sample!$A$2:$A$543,$A176,funnel_events_sample!$B$2:$B$543,"details_filled"))</f>
        <v>46223.173611111109</v>
      </c>
      <c r="E176" s="9" t="str">
        <f>IF(COUNTIFS(funnel_events_sample!$A$2:$A$543,$A176,funnel_events_sample!$B$2:$B$543,"email_verified")=0,"",_xlfn.MINIFS(funnel_events_sample!$C$2:$C$543,funnel_events_sample!$A$2:$A$543,$A176,funnel_events_sample!$B$2:$B$543,"email_verified"))</f>
        <v/>
      </c>
      <c r="F176" s="9" t="str">
        <f>IF(COUNTIFS(funnel_events_sample!$A$2:$A$543,$A176,funnel_events_sample!$B$2:$B$543,"purchase_completed")=0,"",_xlfn.MINIFS(funnel_events_sample!$C$2:$C$543,funnel_events_sample!$A$2:$A$543,$A176,funnel_events_sample!$B$2:$B$543,"purchase_completed"))</f>
        <v/>
      </c>
      <c r="G176" s="11" t="str">
        <f t="shared" si="8"/>
        <v/>
      </c>
      <c r="H176" s="11" t="str">
        <f t="shared" si="9"/>
        <v/>
      </c>
      <c r="I176" s="11" t="str">
        <f t="shared" si="10"/>
        <v/>
      </c>
      <c r="J176" s="11" t="str">
        <f t="shared" si="11"/>
        <v/>
      </c>
    </row>
    <row r="177" spans="1:12">
      <c r="A177" s="3" t="s">
        <v>21</v>
      </c>
      <c r="B177" s="9">
        <f>IF(COUNTIFS(funnel_events_sample!$A$2:$A$543,$A177,funnel_events_sample!$B$2:$B$543,"visited_site")=0,"",_xlfn.MINIFS(funnel_events_sample!$C$2:$C$543,funnel_events_sample!$A$2:$A$543,$A177,funnel_events_sample!$B$2:$B$543,"visited_site"))</f>
        <v>46223.158333333333</v>
      </c>
      <c r="C177" s="9" t="str">
        <f>IF(COUNTIFS(funnel_events_sample!$A$2:$A$543,$A177,funnel_events_sample!$B$2:$B$543,"signup_started")=0,"",_xlfn.MINIFS(funnel_events_sample!$C$2:$C$543,funnel_events_sample!$A$2:$A$543,$A177,funnel_events_sample!$B$2:$B$543,"signup_started"))</f>
        <v/>
      </c>
      <c r="D177" s="9">
        <f>IF(COUNTIFS(funnel_events_sample!$A$2:$A$543,$A177,funnel_events_sample!$B$2:$B$543,"details_filled")=0,"",_xlfn.MINIFS(funnel_events_sample!$C$2:$C$543,funnel_events_sample!$A$2:$A$543,$A177,funnel_events_sample!$B$2:$B$543,"details_filled"))</f>
        <v>46223.17291666667</v>
      </c>
      <c r="E177" s="9" t="str">
        <f>IF(COUNTIFS(funnel_events_sample!$A$2:$A$543,$A177,funnel_events_sample!$B$2:$B$543,"email_verified")=0,"",_xlfn.MINIFS(funnel_events_sample!$C$2:$C$543,funnel_events_sample!$A$2:$A$543,$A177,funnel_events_sample!$B$2:$B$543,"email_verified"))</f>
        <v/>
      </c>
      <c r="F177" s="9" t="str">
        <f>IF(COUNTIFS(funnel_events_sample!$A$2:$A$543,$A177,funnel_events_sample!$B$2:$B$543,"purchase_completed")=0,"",_xlfn.MINIFS(funnel_events_sample!$C$2:$C$543,funnel_events_sample!$A$2:$A$543,$A177,funnel_events_sample!$B$2:$B$543,"purchase_completed"))</f>
        <v/>
      </c>
      <c r="G177" s="11" t="str">
        <f t="shared" si="8"/>
        <v/>
      </c>
      <c r="H177" s="11" t="str">
        <f t="shared" si="9"/>
        <v/>
      </c>
      <c r="I177" s="11" t="str">
        <f t="shared" si="10"/>
        <v/>
      </c>
      <c r="J177" s="11" t="str">
        <f t="shared" si="11"/>
        <v/>
      </c>
    </row>
    <row r="178" spans="1:12">
      <c r="A178" s="3" t="s">
        <v>130</v>
      </c>
      <c r="B178" s="9">
        <f>IF(COUNTIFS(funnel_events_sample!$A$2:$A$543,$A178,funnel_events_sample!$B$2:$B$543,"visited_site")=0,"",_xlfn.MINIFS(funnel_events_sample!$C$2:$C$543,funnel_events_sample!$A$2:$A$543,$A178,funnel_events_sample!$B$2:$B$543,"visited_site"))</f>
        <v>46223.15902777778</v>
      </c>
      <c r="C178" s="9" t="str">
        <f>IF(COUNTIFS(funnel_events_sample!$A$2:$A$543,$A178,funnel_events_sample!$B$2:$B$543,"signup_started")=0,"",_xlfn.MINIFS(funnel_events_sample!$C$2:$C$543,funnel_events_sample!$A$2:$A$543,$A178,funnel_events_sample!$B$2:$B$543,"signup_started"))</f>
        <v/>
      </c>
      <c r="D178" s="9">
        <f>IF(COUNTIFS(funnel_events_sample!$A$2:$A$543,$A178,funnel_events_sample!$B$2:$B$543,"details_filled")=0,"",_xlfn.MINIFS(funnel_events_sample!$C$2:$C$543,funnel_events_sample!$A$2:$A$543,$A178,funnel_events_sample!$B$2:$B$543,"details_filled"))</f>
        <v>46223.175000000003</v>
      </c>
      <c r="E178" s="9" t="str">
        <f>IF(COUNTIFS(funnel_events_sample!$A$2:$A$543,$A178,funnel_events_sample!$B$2:$B$543,"email_verified")=0,"",_xlfn.MINIFS(funnel_events_sample!$C$2:$C$543,funnel_events_sample!$A$2:$A$543,$A178,funnel_events_sample!$B$2:$B$543,"email_verified"))</f>
        <v/>
      </c>
      <c r="F178" s="9" t="str">
        <f>IF(COUNTIFS(funnel_events_sample!$A$2:$A$543,$A178,funnel_events_sample!$B$2:$B$543,"purchase_completed")=0,"",_xlfn.MINIFS(funnel_events_sample!$C$2:$C$543,funnel_events_sample!$A$2:$A$543,$A178,funnel_events_sample!$B$2:$B$543,"purchase_completed"))</f>
        <v/>
      </c>
      <c r="G178" s="11" t="str">
        <f t="shared" si="8"/>
        <v/>
      </c>
      <c r="H178" s="11" t="str">
        <f t="shared" si="9"/>
        <v/>
      </c>
      <c r="I178" s="11" t="str">
        <f t="shared" si="10"/>
        <v/>
      </c>
      <c r="J178" s="11" t="str">
        <f t="shared" si="11"/>
        <v/>
      </c>
    </row>
    <row r="179" spans="1:12">
      <c r="A179" s="3" t="s">
        <v>204</v>
      </c>
      <c r="B179" s="9">
        <f>IF(COUNTIFS(funnel_events_sample!$A$2:$A$543,$A179,funnel_events_sample!$B$2:$B$543,"visited_site")=0,"",_xlfn.MINIFS(funnel_events_sample!$C$2:$C$543,funnel_events_sample!$A$2:$A$543,$A179,funnel_events_sample!$B$2:$B$543,"visited_site"))</f>
        <v>46223.166666666664</v>
      </c>
      <c r="C179" s="9" t="str">
        <f>IF(COUNTIFS(funnel_events_sample!$A$2:$A$543,$A179,funnel_events_sample!$B$2:$B$543,"signup_started")=0,"",_xlfn.MINIFS(funnel_events_sample!$C$2:$C$543,funnel_events_sample!$A$2:$A$543,$A179,funnel_events_sample!$B$2:$B$543,"signup_started"))</f>
        <v/>
      </c>
      <c r="D179" s="9">
        <f>IF(COUNTIFS(funnel_events_sample!$A$2:$A$543,$A179,funnel_events_sample!$B$2:$B$543,"details_filled")=0,"",_xlfn.MINIFS(funnel_events_sample!$C$2:$C$543,funnel_events_sample!$A$2:$A$543,$A179,funnel_events_sample!$B$2:$B$543,"details_filled"))</f>
        <v>46223.180555555555</v>
      </c>
      <c r="E179" s="9" t="str">
        <f>IF(COUNTIFS(funnel_events_sample!$A$2:$A$543,$A179,funnel_events_sample!$B$2:$B$543,"email_verified")=0,"",_xlfn.MINIFS(funnel_events_sample!$C$2:$C$543,funnel_events_sample!$A$2:$A$543,$A179,funnel_events_sample!$B$2:$B$543,"email_verified"))</f>
        <v/>
      </c>
      <c r="F179" s="9" t="str">
        <f>IF(COUNTIFS(funnel_events_sample!$A$2:$A$543,$A179,funnel_events_sample!$B$2:$B$543,"purchase_completed")=0,"",_xlfn.MINIFS(funnel_events_sample!$C$2:$C$543,funnel_events_sample!$A$2:$A$543,$A179,funnel_events_sample!$B$2:$B$543,"purchase_completed"))</f>
        <v/>
      </c>
      <c r="G179" s="11" t="str">
        <f t="shared" si="8"/>
        <v/>
      </c>
      <c r="H179" s="11" t="str">
        <f t="shared" si="9"/>
        <v/>
      </c>
      <c r="I179" s="11" t="str">
        <f t="shared" si="10"/>
        <v/>
      </c>
      <c r="J179" s="11" t="str">
        <f t="shared" si="11"/>
        <v/>
      </c>
      <c r="L179" s="11"/>
    </row>
    <row r="180" spans="1:12">
      <c r="A180" s="3" t="s">
        <v>189</v>
      </c>
      <c r="B180" s="9">
        <f>IF(COUNTIFS(funnel_events_sample!$A$2:$A$543,$A180,funnel_events_sample!$B$2:$B$543,"visited_site")=0,"",_xlfn.MINIFS(funnel_events_sample!$C$2:$C$543,funnel_events_sample!$A$2:$A$543,$A180,funnel_events_sample!$B$2:$B$543,"visited_site"))</f>
        <v>46223.163888888892</v>
      </c>
      <c r="C180" s="9" t="str">
        <f>IF(COUNTIFS(funnel_events_sample!$A$2:$A$543,$A180,funnel_events_sample!$B$2:$B$543,"signup_started")=0,"",_xlfn.MINIFS(funnel_events_sample!$C$2:$C$543,funnel_events_sample!$A$2:$A$543,$A180,funnel_events_sample!$B$2:$B$543,"signup_started"))</f>
        <v/>
      </c>
      <c r="D180" s="9">
        <f>IF(COUNTIFS(funnel_events_sample!$A$2:$A$543,$A180,funnel_events_sample!$B$2:$B$543,"details_filled")=0,"",_xlfn.MINIFS(funnel_events_sample!$C$2:$C$543,funnel_events_sample!$A$2:$A$543,$A180,funnel_events_sample!$B$2:$B$543,"details_filled"))</f>
        <v>46223.177777777775</v>
      </c>
      <c r="E180" s="9" t="str">
        <f>IF(COUNTIFS(funnel_events_sample!$A$2:$A$543,$A180,funnel_events_sample!$B$2:$B$543,"email_verified")=0,"",_xlfn.MINIFS(funnel_events_sample!$C$2:$C$543,funnel_events_sample!$A$2:$A$543,$A180,funnel_events_sample!$B$2:$B$543,"email_verified"))</f>
        <v/>
      </c>
      <c r="F180" s="9" t="str">
        <f>IF(COUNTIFS(funnel_events_sample!$A$2:$A$543,$A180,funnel_events_sample!$B$2:$B$543,"purchase_completed")=0,"",_xlfn.MINIFS(funnel_events_sample!$C$2:$C$543,funnel_events_sample!$A$2:$A$543,$A180,funnel_events_sample!$B$2:$B$543,"purchase_completed"))</f>
        <v/>
      </c>
      <c r="G180" s="11" t="str">
        <f t="shared" si="8"/>
        <v/>
      </c>
      <c r="H180" s="11" t="str">
        <f t="shared" si="9"/>
        <v/>
      </c>
      <c r="I180" s="11" t="str">
        <f t="shared" si="10"/>
        <v/>
      </c>
      <c r="J180" s="11" t="str">
        <f t="shared" si="11"/>
        <v/>
      </c>
      <c r="L180" s="12"/>
    </row>
    <row r="181" spans="1:12">
      <c r="A181" s="3" t="s">
        <v>99</v>
      </c>
      <c r="B181" s="9">
        <f>IF(COUNTIFS(funnel_events_sample!$A$2:$A$543,$A181,funnel_events_sample!$B$2:$B$543,"visited_site")=0,"",_xlfn.MINIFS(funnel_events_sample!$C$2:$C$543,funnel_events_sample!$A$2:$A$543,$A181,funnel_events_sample!$B$2:$B$543,"visited_site"))</f>
        <v>46223.169444444444</v>
      </c>
      <c r="C181" s="9" t="str">
        <f>IF(COUNTIFS(funnel_events_sample!$A$2:$A$543,$A181,funnel_events_sample!$B$2:$B$543,"signup_started")=0,"",_xlfn.MINIFS(funnel_events_sample!$C$2:$C$543,funnel_events_sample!$A$2:$A$543,$A181,funnel_events_sample!$B$2:$B$543,"signup_started"))</f>
        <v/>
      </c>
      <c r="D181" s="9">
        <f>IF(COUNTIFS(funnel_events_sample!$A$2:$A$543,$A181,funnel_events_sample!$B$2:$B$543,"details_filled")=0,"",_xlfn.MINIFS(funnel_events_sample!$C$2:$C$543,funnel_events_sample!$A$2:$A$543,$A181,funnel_events_sample!$B$2:$B$543,"details_filled"))</f>
        <v>46223.182638888888</v>
      </c>
      <c r="E181" s="9" t="str">
        <f>IF(COUNTIFS(funnel_events_sample!$A$2:$A$543,$A181,funnel_events_sample!$B$2:$B$543,"email_verified")=0,"",_xlfn.MINIFS(funnel_events_sample!$C$2:$C$543,funnel_events_sample!$A$2:$A$543,$A181,funnel_events_sample!$B$2:$B$543,"email_verified"))</f>
        <v/>
      </c>
      <c r="F181" s="9" t="str">
        <f>IF(COUNTIFS(funnel_events_sample!$A$2:$A$543,$A181,funnel_events_sample!$B$2:$B$543,"purchase_completed")=0,"",_xlfn.MINIFS(funnel_events_sample!$C$2:$C$543,funnel_events_sample!$A$2:$A$543,$A181,funnel_events_sample!$B$2:$B$543,"purchase_completed"))</f>
        <v/>
      </c>
      <c r="G181" s="11" t="str">
        <f t="shared" si="8"/>
        <v/>
      </c>
      <c r="H181" s="11" t="str">
        <f t="shared" si="9"/>
        <v/>
      </c>
      <c r="I181" s="11" t="str">
        <f t="shared" si="10"/>
        <v/>
      </c>
      <c r="J181" s="11" t="str">
        <f t="shared" si="11"/>
        <v/>
      </c>
    </row>
    <row r="182" spans="1:12">
      <c r="A182" s="3" t="s">
        <v>89</v>
      </c>
      <c r="B182" s="9">
        <f>IF(COUNTIFS(funnel_events_sample!$A$2:$A$543,$A182,funnel_events_sample!$B$2:$B$543,"visited_site")=0,"",_xlfn.MINIFS(funnel_events_sample!$C$2:$C$543,funnel_events_sample!$A$2:$A$543,$A182,funnel_events_sample!$B$2:$B$543,"visited_site"))</f>
        <v>46223.170138888891</v>
      </c>
      <c r="C182" s="9" t="str">
        <f>IF(COUNTIFS(funnel_events_sample!$A$2:$A$543,$A182,funnel_events_sample!$B$2:$B$543,"signup_started")=0,"",_xlfn.MINIFS(funnel_events_sample!$C$2:$C$543,funnel_events_sample!$A$2:$A$543,$A182,funnel_events_sample!$B$2:$B$543,"signup_started"))</f>
        <v/>
      </c>
      <c r="D182" s="9">
        <f>IF(COUNTIFS(funnel_events_sample!$A$2:$A$543,$A182,funnel_events_sample!$B$2:$B$543,"details_filled")=0,"",_xlfn.MINIFS(funnel_events_sample!$C$2:$C$543,funnel_events_sample!$A$2:$A$543,$A182,funnel_events_sample!$B$2:$B$543,"details_filled"))</f>
        <v>46223.186805555553</v>
      </c>
      <c r="E182" s="9" t="str">
        <f>IF(COUNTIFS(funnel_events_sample!$A$2:$A$543,$A182,funnel_events_sample!$B$2:$B$543,"email_verified")=0,"",_xlfn.MINIFS(funnel_events_sample!$C$2:$C$543,funnel_events_sample!$A$2:$A$543,$A182,funnel_events_sample!$B$2:$B$543,"email_verified"))</f>
        <v/>
      </c>
      <c r="F182" s="9" t="str">
        <f>IF(COUNTIFS(funnel_events_sample!$A$2:$A$543,$A182,funnel_events_sample!$B$2:$B$543,"purchase_completed")=0,"",_xlfn.MINIFS(funnel_events_sample!$C$2:$C$543,funnel_events_sample!$A$2:$A$543,$A182,funnel_events_sample!$B$2:$B$543,"purchase_completed"))</f>
        <v/>
      </c>
      <c r="G182" s="11" t="str">
        <f t="shared" si="8"/>
        <v/>
      </c>
      <c r="H182" s="11" t="str">
        <f t="shared" si="9"/>
        <v/>
      </c>
      <c r="I182" s="11" t="str">
        <f t="shared" si="10"/>
        <v/>
      </c>
      <c r="J182" s="11" t="str">
        <f t="shared" si="11"/>
        <v/>
      </c>
    </row>
    <row r="183" spans="1:12">
      <c r="A183" s="3" t="s">
        <v>95</v>
      </c>
      <c r="B183" s="9">
        <f>IF(COUNTIFS(funnel_events_sample!$A$2:$A$543,$A183,funnel_events_sample!$B$2:$B$543,"visited_site")=0,"",_xlfn.MINIFS(funnel_events_sample!$C$2:$C$543,funnel_events_sample!$A$2:$A$543,$A183,funnel_events_sample!$B$2:$B$543,"visited_site"))</f>
        <v>46223.151388888888</v>
      </c>
      <c r="C183" s="9" t="str">
        <f>IF(COUNTIFS(funnel_events_sample!$A$2:$A$543,$A183,funnel_events_sample!$B$2:$B$543,"signup_started")=0,"",_xlfn.MINIFS(funnel_events_sample!$C$2:$C$543,funnel_events_sample!$A$2:$A$543,$A183,funnel_events_sample!$B$2:$B$543,"signup_started"))</f>
        <v/>
      </c>
      <c r="D183" s="9">
        <f>IF(COUNTIFS(funnel_events_sample!$A$2:$A$543,$A183,funnel_events_sample!$B$2:$B$543,"details_filled")=0,"",_xlfn.MINIFS(funnel_events_sample!$C$2:$C$543,funnel_events_sample!$A$2:$A$543,$A183,funnel_events_sample!$B$2:$B$543,"details_filled"))</f>
        <v>46223.168749999997</v>
      </c>
      <c r="E183" s="9" t="str">
        <f>IF(COUNTIFS(funnel_events_sample!$A$2:$A$543,$A183,funnel_events_sample!$B$2:$B$543,"email_verified")=0,"",_xlfn.MINIFS(funnel_events_sample!$C$2:$C$543,funnel_events_sample!$A$2:$A$543,$A183,funnel_events_sample!$B$2:$B$543,"email_verified"))</f>
        <v/>
      </c>
      <c r="F183" s="9" t="str">
        <f>IF(COUNTIFS(funnel_events_sample!$A$2:$A$543,$A183,funnel_events_sample!$B$2:$B$543,"purchase_completed")=0,"",_xlfn.MINIFS(funnel_events_sample!$C$2:$C$543,funnel_events_sample!$A$2:$A$543,$A183,funnel_events_sample!$B$2:$B$543,"purchase_completed"))</f>
        <v/>
      </c>
      <c r="G183" s="11" t="str">
        <f t="shared" si="8"/>
        <v/>
      </c>
      <c r="H183" s="11" t="str">
        <f t="shared" si="9"/>
        <v/>
      </c>
      <c r="I183" s="11" t="str">
        <f t="shared" si="10"/>
        <v/>
      </c>
      <c r="J183" s="11" t="str">
        <f t="shared" si="11"/>
        <v/>
      </c>
    </row>
    <row r="184" spans="1:12">
      <c r="A184" s="3" t="s">
        <v>181</v>
      </c>
      <c r="B184" s="9">
        <f>IF(COUNTIFS(funnel_events_sample!$A$2:$A$543,$A184,funnel_events_sample!$B$2:$B$543,"visited_site")=0,"",_xlfn.MINIFS(funnel_events_sample!$C$2:$C$543,funnel_events_sample!$A$2:$A$543,$A184,funnel_events_sample!$B$2:$B$543,"visited_site"))</f>
        <v>46223.169444444444</v>
      </c>
      <c r="C184" s="9" t="str">
        <f>IF(COUNTIFS(funnel_events_sample!$A$2:$A$543,$A184,funnel_events_sample!$B$2:$B$543,"signup_started")=0,"",_xlfn.MINIFS(funnel_events_sample!$C$2:$C$543,funnel_events_sample!$A$2:$A$543,$A184,funnel_events_sample!$B$2:$B$543,"signup_started"))</f>
        <v/>
      </c>
      <c r="D184" s="9">
        <f>IF(COUNTIFS(funnel_events_sample!$A$2:$A$543,$A184,funnel_events_sample!$B$2:$B$543,"details_filled")=0,"",_xlfn.MINIFS(funnel_events_sample!$C$2:$C$543,funnel_events_sample!$A$2:$A$543,$A184,funnel_events_sample!$B$2:$B$543,"details_filled"))</f>
        <v>46223.17083333333</v>
      </c>
      <c r="E184" s="9" t="str">
        <f>IF(COUNTIFS(funnel_events_sample!$A$2:$A$543,$A184,funnel_events_sample!$B$2:$B$543,"email_verified")=0,"",_xlfn.MINIFS(funnel_events_sample!$C$2:$C$543,funnel_events_sample!$A$2:$A$543,$A184,funnel_events_sample!$B$2:$B$543,"email_verified"))</f>
        <v/>
      </c>
      <c r="F184" s="9" t="str">
        <f>IF(COUNTIFS(funnel_events_sample!$A$2:$A$543,$A184,funnel_events_sample!$B$2:$B$543,"purchase_completed")=0,"",_xlfn.MINIFS(funnel_events_sample!$C$2:$C$543,funnel_events_sample!$A$2:$A$543,$A184,funnel_events_sample!$B$2:$B$543,"purchase_completed"))</f>
        <v/>
      </c>
      <c r="G184" s="11" t="str">
        <f t="shared" si="8"/>
        <v/>
      </c>
      <c r="H184" s="11" t="str">
        <f t="shared" si="9"/>
        <v/>
      </c>
      <c r="I184" s="11" t="str">
        <f t="shared" si="10"/>
        <v/>
      </c>
      <c r="J184" s="11" t="str">
        <f t="shared" si="11"/>
        <v/>
      </c>
    </row>
    <row r="185" spans="1:12">
      <c r="A185" s="3" t="s">
        <v>110</v>
      </c>
      <c r="B185" s="9">
        <f>IF(COUNTIFS(funnel_events_sample!$A$2:$A$543,$A185,funnel_events_sample!$B$2:$B$543,"visited_site")=0,"",_xlfn.MINIFS(funnel_events_sample!$C$2:$C$543,funnel_events_sample!$A$2:$A$543,$A185,funnel_events_sample!$B$2:$B$543,"visited_site"))</f>
        <v>46223.17291666667</v>
      </c>
      <c r="C185" s="9" t="str">
        <f>IF(COUNTIFS(funnel_events_sample!$A$2:$A$543,$A185,funnel_events_sample!$B$2:$B$543,"signup_started")=0,"",_xlfn.MINIFS(funnel_events_sample!$C$2:$C$543,funnel_events_sample!$A$2:$A$543,$A185,funnel_events_sample!$B$2:$B$543,"signup_started"))</f>
        <v/>
      </c>
      <c r="D185" s="9">
        <f>IF(COUNTIFS(funnel_events_sample!$A$2:$A$543,$A185,funnel_events_sample!$B$2:$B$543,"details_filled")=0,"",_xlfn.MINIFS(funnel_events_sample!$C$2:$C$543,funnel_events_sample!$A$2:$A$543,$A185,funnel_events_sample!$B$2:$B$543,"details_filled"))</f>
        <v>46223.174305555556</v>
      </c>
      <c r="E185" s="9" t="str">
        <f>IF(COUNTIFS(funnel_events_sample!$A$2:$A$543,$A185,funnel_events_sample!$B$2:$B$543,"email_verified")=0,"",_xlfn.MINIFS(funnel_events_sample!$C$2:$C$543,funnel_events_sample!$A$2:$A$543,$A185,funnel_events_sample!$B$2:$B$543,"email_verified"))</f>
        <v/>
      </c>
      <c r="F185" s="9" t="str">
        <f>IF(COUNTIFS(funnel_events_sample!$A$2:$A$543,$A185,funnel_events_sample!$B$2:$B$543,"purchase_completed")=0,"",_xlfn.MINIFS(funnel_events_sample!$C$2:$C$543,funnel_events_sample!$A$2:$A$543,$A185,funnel_events_sample!$B$2:$B$543,"purchase_completed"))</f>
        <v/>
      </c>
      <c r="G185" s="11" t="str">
        <f t="shared" si="8"/>
        <v/>
      </c>
      <c r="H185" s="11" t="str">
        <f t="shared" si="9"/>
        <v/>
      </c>
      <c r="I185" s="11" t="str">
        <f t="shared" si="10"/>
        <v/>
      </c>
      <c r="J185" s="11" t="str">
        <f t="shared" si="11"/>
        <v/>
      </c>
    </row>
    <row r="186" spans="1:12">
      <c r="A186" s="3" t="s">
        <v>12</v>
      </c>
      <c r="B186" s="9">
        <f>IF(COUNTIFS(funnel_events_sample!$A$2:$A$543,$A186,funnel_events_sample!$B$2:$B$543,"visited_site")=0,"",_xlfn.MINIFS(funnel_events_sample!$C$2:$C$543,funnel_events_sample!$A$2:$A$543,$A186,funnel_events_sample!$B$2:$B$543,"visited_site"))</f>
        <v>46223.147916666669</v>
      </c>
      <c r="C186" s="9" t="str">
        <f>IF(COUNTIFS(funnel_events_sample!$A$2:$A$543,$A186,funnel_events_sample!$B$2:$B$543,"signup_started")=0,"",_xlfn.MINIFS(funnel_events_sample!$C$2:$C$543,funnel_events_sample!$A$2:$A$543,$A186,funnel_events_sample!$B$2:$B$543,"signup_started"))</f>
        <v/>
      </c>
      <c r="D186" s="9">
        <f>IF(COUNTIFS(funnel_events_sample!$A$2:$A$543,$A186,funnel_events_sample!$B$2:$B$543,"details_filled")=0,"",_xlfn.MINIFS(funnel_events_sample!$C$2:$C$543,funnel_events_sample!$A$2:$A$543,$A186,funnel_events_sample!$B$2:$B$543,"details_filled"))</f>
        <v>46223.177083333336</v>
      </c>
      <c r="E186" s="9" t="str">
        <f>IF(COUNTIFS(funnel_events_sample!$A$2:$A$543,$A186,funnel_events_sample!$B$2:$B$543,"email_verified")=0,"",_xlfn.MINIFS(funnel_events_sample!$C$2:$C$543,funnel_events_sample!$A$2:$A$543,$A186,funnel_events_sample!$B$2:$B$543,"email_verified"))</f>
        <v/>
      </c>
      <c r="F186" s="9" t="str">
        <f>IF(COUNTIFS(funnel_events_sample!$A$2:$A$543,$A186,funnel_events_sample!$B$2:$B$543,"purchase_completed")=0,"",_xlfn.MINIFS(funnel_events_sample!$C$2:$C$543,funnel_events_sample!$A$2:$A$543,$A186,funnel_events_sample!$B$2:$B$543,"purchase_completed"))</f>
        <v/>
      </c>
      <c r="G186" s="11" t="str">
        <f t="shared" si="8"/>
        <v/>
      </c>
      <c r="H186" s="11" t="str">
        <f t="shared" si="9"/>
        <v/>
      </c>
      <c r="I186" s="11" t="str">
        <f t="shared" si="10"/>
        <v/>
      </c>
      <c r="J186" s="11" t="str">
        <f t="shared" si="11"/>
        <v/>
      </c>
    </row>
    <row r="187" spans="1:12">
      <c r="A187" s="3" t="s">
        <v>186</v>
      </c>
      <c r="B187" s="9">
        <f>IF(COUNTIFS(funnel_events_sample!$A$2:$A$543,$A187,funnel_events_sample!$B$2:$B$543,"visited_site")=0,"",_xlfn.MINIFS(funnel_events_sample!$C$2:$C$543,funnel_events_sample!$A$2:$A$543,$A187,funnel_events_sample!$B$2:$B$543,"visited_site"))</f>
        <v>46223.166666666664</v>
      </c>
      <c r="C187" s="9" t="str">
        <f>IF(COUNTIFS(funnel_events_sample!$A$2:$A$543,$A187,funnel_events_sample!$B$2:$B$543,"signup_started")=0,"",_xlfn.MINIFS(funnel_events_sample!$C$2:$C$543,funnel_events_sample!$A$2:$A$543,$A187,funnel_events_sample!$B$2:$B$543,"signup_started"))</f>
        <v/>
      </c>
      <c r="D187" s="9">
        <f>IF(COUNTIFS(funnel_events_sample!$A$2:$A$543,$A187,funnel_events_sample!$B$2:$B$543,"details_filled")=0,"",_xlfn.MINIFS(funnel_events_sample!$C$2:$C$543,funnel_events_sample!$A$2:$A$543,$A187,funnel_events_sample!$B$2:$B$543,"details_filled"))</f>
        <v>46223.188194444447</v>
      </c>
      <c r="E187" s="9" t="str">
        <f>IF(COUNTIFS(funnel_events_sample!$A$2:$A$543,$A187,funnel_events_sample!$B$2:$B$543,"email_verified")=0,"",_xlfn.MINIFS(funnel_events_sample!$C$2:$C$543,funnel_events_sample!$A$2:$A$543,$A187,funnel_events_sample!$B$2:$B$543,"email_verified"))</f>
        <v/>
      </c>
      <c r="F187" s="9" t="str">
        <f>IF(COUNTIFS(funnel_events_sample!$A$2:$A$543,$A187,funnel_events_sample!$B$2:$B$543,"purchase_completed")=0,"",_xlfn.MINIFS(funnel_events_sample!$C$2:$C$543,funnel_events_sample!$A$2:$A$543,$A187,funnel_events_sample!$B$2:$B$543,"purchase_completed"))</f>
        <v/>
      </c>
      <c r="G187" s="11" t="str">
        <f t="shared" si="8"/>
        <v/>
      </c>
      <c r="H187" s="11" t="str">
        <f t="shared" si="9"/>
        <v/>
      </c>
      <c r="I187" s="11" t="str">
        <f t="shared" si="10"/>
        <v/>
      </c>
      <c r="J187" s="11" t="str">
        <f t="shared" si="11"/>
        <v/>
      </c>
    </row>
    <row r="188" spans="1:12">
      <c r="A188" s="3" t="s">
        <v>41</v>
      </c>
      <c r="B188" s="9">
        <f>IF(COUNTIFS(funnel_events_sample!$A$2:$A$543,$A188,funnel_events_sample!$B$2:$B$543,"visited_site")=0,"",_xlfn.MINIFS(funnel_events_sample!$C$2:$C$543,funnel_events_sample!$A$2:$A$543,$A188,funnel_events_sample!$B$2:$B$543,"visited_site"))</f>
        <v>46223.146527777775</v>
      </c>
      <c r="C188" s="9" t="str">
        <f>IF(COUNTIFS(funnel_events_sample!$A$2:$A$543,$A188,funnel_events_sample!$B$2:$B$543,"signup_started")=0,"",_xlfn.MINIFS(funnel_events_sample!$C$2:$C$543,funnel_events_sample!$A$2:$A$543,$A188,funnel_events_sample!$B$2:$B$543,"signup_started"))</f>
        <v/>
      </c>
      <c r="D188" s="9">
        <f>IF(COUNTIFS(funnel_events_sample!$A$2:$A$543,$A188,funnel_events_sample!$B$2:$B$543,"details_filled")=0,"",_xlfn.MINIFS(funnel_events_sample!$C$2:$C$543,funnel_events_sample!$A$2:$A$543,$A188,funnel_events_sample!$B$2:$B$543,"details_filled"))</f>
        <v>46223.1875</v>
      </c>
      <c r="E188" s="9" t="str">
        <f>IF(COUNTIFS(funnel_events_sample!$A$2:$A$543,$A188,funnel_events_sample!$B$2:$B$543,"email_verified")=0,"",_xlfn.MINIFS(funnel_events_sample!$C$2:$C$543,funnel_events_sample!$A$2:$A$543,$A188,funnel_events_sample!$B$2:$B$543,"email_verified"))</f>
        <v/>
      </c>
      <c r="F188" s="9" t="str">
        <f>IF(COUNTIFS(funnel_events_sample!$A$2:$A$543,$A188,funnel_events_sample!$B$2:$B$543,"purchase_completed")=0,"",_xlfn.MINIFS(funnel_events_sample!$C$2:$C$543,funnel_events_sample!$A$2:$A$543,$A188,funnel_events_sample!$B$2:$B$543,"purchase_completed"))</f>
        <v/>
      </c>
      <c r="G188" s="11" t="str">
        <f t="shared" si="8"/>
        <v/>
      </c>
      <c r="H188" s="11" t="str">
        <f t="shared" si="9"/>
        <v/>
      </c>
      <c r="I188" s="11" t="str">
        <f t="shared" si="10"/>
        <v/>
      </c>
      <c r="J188" s="11" t="str">
        <f t="shared" si="11"/>
        <v/>
      </c>
    </row>
    <row r="189" spans="1:12">
      <c r="A189" s="3" t="s">
        <v>117</v>
      </c>
      <c r="B189" s="9">
        <f>IF(COUNTIFS(funnel_events_sample!$A$2:$A$543,$A189,funnel_events_sample!$B$2:$B$543,"visited_site")=0,"",_xlfn.MINIFS(funnel_events_sample!$C$2:$C$543,funnel_events_sample!$A$2:$A$543,$A189,funnel_events_sample!$B$2:$B$543,"visited_site"))</f>
        <v>46223.150694444441</v>
      </c>
      <c r="C189" s="9" t="str">
        <f>IF(COUNTIFS(funnel_events_sample!$A$2:$A$543,$A189,funnel_events_sample!$B$2:$B$543,"signup_started")=0,"",_xlfn.MINIFS(funnel_events_sample!$C$2:$C$543,funnel_events_sample!$A$2:$A$543,$A189,funnel_events_sample!$B$2:$B$543,"signup_started"))</f>
        <v/>
      </c>
      <c r="D189" s="9">
        <f>IF(COUNTIFS(funnel_events_sample!$A$2:$A$543,$A189,funnel_events_sample!$B$2:$B$543,"details_filled")=0,"",_xlfn.MINIFS(funnel_events_sample!$C$2:$C$543,funnel_events_sample!$A$2:$A$543,$A189,funnel_events_sample!$B$2:$B$543,"details_filled"))</f>
        <v>46223.179861111108</v>
      </c>
      <c r="E189" s="9" t="str">
        <f>IF(COUNTIFS(funnel_events_sample!$A$2:$A$543,$A189,funnel_events_sample!$B$2:$B$543,"email_verified")=0,"",_xlfn.MINIFS(funnel_events_sample!$C$2:$C$543,funnel_events_sample!$A$2:$A$543,$A189,funnel_events_sample!$B$2:$B$543,"email_verified"))</f>
        <v/>
      </c>
      <c r="F189" s="9" t="str">
        <f>IF(COUNTIFS(funnel_events_sample!$A$2:$A$543,$A189,funnel_events_sample!$B$2:$B$543,"purchase_completed")=0,"",_xlfn.MINIFS(funnel_events_sample!$C$2:$C$543,funnel_events_sample!$A$2:$A$543,$A189,funnel_events_sample!$B$2:$B$543,"purchase_completed"))</f>
        <v/>
      </c>
      <c r="G189" s="11" t="str">
        <f t="shared" si="8"/>
        <v/>
      </c>
      <c r="H189" s="11" t="str">
        <f t="shared" si="9"/>
        <v/>
      </c>
      <c r="I189" s="11" t="str">
        <f t="shared" si="10"/>
        <v/>
      </c>
      <c r="J189" s="11" t="str">
        <f t="shared" si="11"/>
        <v/>
      </c>
    </row>
    <row r="190" spans="1:12">
      <c r="A190" s="3" t="s">
        <v>195</v>
      </c>
      <c r="B190" s="9">
        <f>IF(COUNTIFS(funnel_events_sample!$A$2:$A$543,$A190,funnel_events_sample!$B$2:$B$543,"visited_site")=0,"",_xlfn.MINIFS(funnel_events_sample!$C$2:$C$543,funnel_events_sample!$A$2:$A$543,$A190,funnel_events_sample!$B$2:$B$543,"visited_site"))</f>
        <v>46223.168055555558</v>
      </c>
      <c r="C190" s="9" t="str">
        <f>IF(COUNTIFS(funnel_events_sample!$A$2:$A$543,$A190,funnel_events_sample!$B$2:$B$543,"signup_started")=0,"",_xlfn.MINIFS(funnel_events_sample!$C$2:$C$543,funnel_events_sample!$A$2:$A$543,$A190,funnel_events_sample!$B$2:$B$543,"signup_started"))</f>
        <v/>
      </c>
      <c r="D190" s="9">
        <f>IF(COUNTIFS(funnel_events_sample!$A$2:$A$543,$A190,funnel_events_sample!$B$2:$B$543,"details_filled")=0,"",_xlfn.MINIFS(funnel_events_sample!$C$2:$C$543,funnel_events_sample!$A$2:$A$543,$A190,funnel_events_sample!$B$2:$B$543,"details_filled"))</f>
        <v>46223.184027777781</v>
      </c>
      <c r="E190" s="9" t="str">
        <f>IF(COUNTIFS(funnel_events_sample!$A$2:$A$543,$A190,funnel_events_sample!$B$2:$B$543,"email_verified")=0,"",_xlfn.MINIFS(funnel_events_sample!$C$2:$C$543,funnel_events_sample!$A$2:$A$543,$A190,funnel_events_sample!$B$2:$B$543,"email_verified"))</f>
        <v/>
      </c>
      <c r="F190" s="9" t="str">
        <f>IF(COUNTIFS(funnel_events_sample!$A$2:$A$543,$A190,funnel_events_sample!$B$2:$B$543,"purchase_completed")=0,"",_xlfn.MINIFS(funnel_events_sample!$C$2:$C$543,funnel_events_sample!$A$2:$A$543,$A190,funnel_events_sample!$B$2:$B$543,"purchase_completed"))</f>
        <v/>
      </c>
      <c r="G190" s="11" t="str">
        <f t="shared" si="8"/>
        <v/>
      </c>
      <c r="H190" s="11" t="str">
        <f t="shared" si="9"/>
        <v/>
      </c>
      <c r="I190" s="11" t="str">
        <f t="shared" si="10"/>
        <v/>
      </c>
      <c r="J190" s="11" t="str">
        <f t="shared" si="11"/>
        <v/>
      </c>
    </row>
    <row r="191" spans="1:12">
      <c r="A191" s="3" t="s">
        <v>140</v>
      </c>
      <c r="B191" s="9">
        <f>IF(COUNTIFS(funnel_events_sample!$A$2:$A$543,$A191,funnel_events_sample!$B$2:$B$543,"visited_site")=0,"",_xlfn.MINIFS(funnel_events_sample!$C$2:$C$543,funnel_events_sample!$A$2:$A$543,$A191,funnel_events_sample!$B$2:$B$543,"visited_site"))</f>
        <v>46223.17291666667</v>
      </c>
      <c r="C191" s="9" t="str">
        <f>IF(COUNTIFS(funnel_events_sample!$A$2:$A$543,$A191,funnel_events_sample!$B$2:$B$543,"signup_started")=0,"",_xlfn.MINIFS(funnel_events_sample!$C$2:$C$543,funnel_events_sample!$A$2:$A$543,$A191,funnel_events_sample!$B$2:$B$543,"signup_started"))</f>
        <v/>
      </c>
      <c r="D191" s="9">
        <f>IF(COUNTIFS(funnel_events_sample!$A$2:$A$543,$A191,funnel_events_sample!$B$2:$B$543,"details_filled")=0,"",_xlfn.MINIFS(funnel_events_sample!$C$2:$C$543,funnel_events_sample!$A$2:$A$543,$A191,funnel_events_sample!$B$2:$B$543,"details_filled"))</f>
        <v>46223.177777777775</v>
      </c>
      <c r="E191" s="9" t="str">
        <f>IF(COUNTIFS(funnel_events_sample!$A$2:$A$543,$A191,funnel_events_sample!$B$2:$B$543,"email_verified")=0,"",_xlfn.MINIFS(funnel_events_sample!$C$2:$C$543,funnel_events_sample!$A$2:$A$543,$A191,funnel_events_sample!$B$2:$B$543,"email_verified"))</f>
        <v/>
      </c>
      <c r="F191" s="9" t="str">
        <f>IF(COUNTIFS(funnel_events_sample!$A$2:$A$543,$A191,funnel_events_sample!$B$2:$B$543,"purchase_completed")=0,"",_xlfn.MINIFS(funnel_events_sample!$C$2:$C$543,funnel_events_sample!$A$2:$A$543,$A191,funnel_events_sample!$B$2:$B$543,"purchase_completed"))</f>
        <v/>
      </c>
      <c r="G191" s="11" t="str">
        <f t="shared" si="8"/>
        <v/>
      </c>
      <c r="H191" s="11" t="str">
        <f t="shared" si="9"/>
        <v/>
      </c>
      <c r="I191" s="11" t="str">
        <f t="shared" si="10"/>
        <v/>
      </c>
      <c r="J191" s="11" t="str">
        <f t="shared" si="11"/>
        <v/>
      </c>
    </row>
    <row r="192" spans="1:12">
      <c r="A192" s="3" t="s">
        <v>183</v>
      </c>
      <c r="B192" s="9">
        <f>IF(COUNTIFS(funnel_events_sample!$A$2:$A$543,$A192,funnel_events_sample!$B$2:$B$543,"visited_site")=0,"",_xlfn.MINIFS(funnel_events_sample!$C$2:$C$543,funnel_events_sample!$A$2:$A$543,$A192,funnel_events_sample!$B$2:$B$543,"visited_site"))</f>
        <v>46223.162499999999</v>
      </c>
      <c r="C192" s="9" t="str">
        <f>IF(COUNTIFS(funnel_events_sample!$A$2:$A$543,$A192,funnel_events_sample!$B$2:$B$543,"signup_started")=0,"",_xlfn.MINIFS(funnel_events_sample!$C$2:$C$543,funnel_events_sample!$A$2:$A$543,$A192,funnel_events_sample!$B$2:$B$543,"signup_started"))</f>
        <v/>
      </c>
      <c r="D192" s="9">
        <f>IF(COUNTIFS(funnel_events_sample!$A$2:$A$543,$A192,funnel_events_sample!$B$2:$B$543,"details_filled")=0,"",_xlfn.MINIFS(funnel_events_sample!$C$2:$C$543,funnel_events_sample!$A$2:$A$543,$A192,funnel_events_sample!$B$2:$B$543,"details_filled"))</f>
        <v>46223.1875</v>
      </c>
      <c r="E192" s="9" t="str">
        <f>IF(COUNTIFS(funnel_events_sample!$A$2:$A$543,$A192,funnel_events_sample!$B$2:$B$543,"email_verified")=0,"",_xlfn.MINIFS(funnel_events_sample!$C$2:$C$543,funnel_events_sample!$A$2:$A$543,$A192,funnel_events_sample!$B$2:$B$543,"email_verified"))</f>
        <v/>
      </c>
      <c r="F192" s="9" t="str">
        <f>IF(COUNTIFS(funnel_events_sample!$A$2:$A$543,$A192,funnel_events_sample!$B$2:$B$543,"purchase_completed")=0,"",_xlfn.MINIFS(funnel_events_sample!$C$2:$C$543,funnel_events_sample!$A$2:$A$543,$A192,funnel_events_sample!$B$2:$B$543,"purchase_completed"))</f>
        <v/>
      </c>
      <c r="G192" s="11" t="str">
        <f t="shared" si="8"/>
        <v/>
      </c>
      <c r="H192" s="11" t="str">
        <f t="shared" si="9"/>
        <v/>
      </c>
      <c r="I192" s="11" t="str">
        <f t="shared" si="10"/>
        <v/>
      </c>
      <c r="J192" s="11" t="str">
        <f t="shared" si="11"/>
        <v/>
      </c>
    </row>
    <row r="193" spans="1:10">
      <c r="A193" s="3" t="s">
        <v>54</v>
      </c>
      <c r="B193" s="9">
        <f>IF(COUNTIFS(funnel_events_sample!$A$2:$A$543,$A193,funnel_events_sample!$B$2:$B$543,"visited_site")=0,"",_xlfn.MINIFS(funnel_events_sample!$C$2:$C$543,funnel_events_sample!$A$2:$A$543,$A193,funnel_events_sample!$B$2:$B$543,"visited_site"))</f>
        <v>46223.168749999997</v>
      </c>
      <c r="C193" s="9" t="str">
        <f>IF(COUNTIFS(funnel_events_sample!$A$2:$A$543,$A193,funnel_events_sample!$B$2:$B$543,"signup_started")=0,"",_xlfn.MINIFS(funnel_events_sample!$C$2:$C$543,funnel_events_sample!$A$2:$A$543,$A193,funnel_events_sample!$B$2:$B$543,"signup_started"))</f>
        <v/>
      </c>
      <c r="D193" s="9">
        <f>IF(COUNTIFS(funnel_events_sample!$A$2:$A$543,$A193,funnel_events_sample!$B$2:$B$543,"details_filled")=0,"",_xlfn.MINIFS(funnel_events_sample!$C$2:$C$543,funnel_events_sample!$A$2:$A$543,$A193,funnel_events_sample!$B$2:$B$543,"details_filled"))</f>
        <v>46223.179861111108</v>
      </c>
      <c r="E193" s="9" t="str">
        <f>IF(COUNTIFS(funnel_events_sample!$A$2:$A$543,$A193,funnel_events_sample!$B$2:$B$543,"email_verified")=0,"",_xlfn.MINIFS(funnel_events_sample!$C$2:$C$543,funnel_events_sample!$A$2:$A$543,$A193,funnel_events_sample!$B$2:$B$543,"email_verified"))</f>
        <v/>
      </c>
      <c r="F193" s="9" t="str">
        <f>IF(COUNTIFS(funnel_events_sample!$A$2:$A$543,$A193,funnel_events_sample!$B$2:$B$543,"purchase_completed")=0,"",_xlfn.MINIFS(funnel_events_sample!$C$2:$C$543,funnel_events_sample!$A$2:$A$543,$A193,funnel_events_sample!$B$2:$B$543,"purchase_completed"))</f>
        <v/>
      </c>
      <c r="G193" s="11" t="str">
        <f t="shared" si="8"/>
        <v/>
      </c>
      <c r="H193" s="11" t="str">
        <f t="shared" si="9"/>
        <v/>
      </c>
      <c r="I193" s="11" t="str">
        <f t="shared" si="10"/>
        <v/>
      </c>
      <c r="J193" s="11" t="str">
        <f t="shared" si="11"/>
        <v/>
      </c>
    </row>
    <row r="194" spans="1:10">
      <c r="A194" s="3" t="s">
        <v>84</v>
      </c>
      <c r="B194" s="9">
        <f>IF(COUNTIFS(funnel_events_sample!$A$2:$A$543,$A194,funnel_events_sample!$B$2:$B$543,"visited_site")=0,"",_xlfn.MINIFS(funnel_events_sample!$C$2:$C$543,funnel_events_sample!$A$2:$A$543,$A194,funnel_events_sample!$B$2:$B$543,"visited_site"))</f>
        <v>46223.168749999997</v>
      </c>
      <c r="C194" s="9" t="str">
        <f>IF(COUNTIFS(funnel_events_sample!$A$2:$A$543,$A194,funnel_events_sample!$B$2:$B$543,"signup_started")=0,"",_xlfn.MINIFS(funnel_events_sample!$C$2:$C$543,funnel_events_sample!$A$2:$A$543,$A194,funnel_events_sample!$B$2:$B$543,"signup_started"))</f>
        <v/>
      </c>
      <c r="D194" s="9">
        <f>IF(COUNTIFS(funnel_events_sample!$A$2:$A$543,$A194,funnel_events_sample!$B$2:$B$543,"details_filled")=0,"",_xlfn.MINIFS(funnel_events_sample!$C$2:$C$543,funnel_events_sample!$A$2:$A$543,$A194,funnel_events_sample!$B$2:$B$543,"details_filled"))</f>
        <v>46223.171527777777</v>
      </c>
      <c r="E194" s="9" t="str">
        <f>IF(COUNTIFS(funnel_events_sample!$A$2:$A$543,$A194,funnel_events_sample!$B$2:$B$543,"email_verified")=0,"",_xlfn.MINIFS(funnel_events_sample!$C$2:$C$543,funnel_events_sample!$A$2:$A$543,$A194,funnel_events_sample!$B$2:$B$543,"email_verified"))</f>
        <v/>
      </c>
      <c r="F194" s="9" t="str">
        <f>IF(COUNTIFS(funnel_events_sample!$A$2:$A$543,$A194,funnel_events_sample!$B$2:$B$543,"purchase_completed")=0,"",_xlfn.MINIFS(funnel_events_sample!$C$2:$C$543,funnel_events_sample!$A$2:$A$543,$A194,funnel_events_sample!$B$2:$B$543,"purchase_completed"))</f>
        <v/>
      </c>
      <c r="G194" s="11" t="str">
        <f t="shared" si="8"/>
        <v/>
      </c>
      <c r="H194" s="11" t="str">
        <f t="shared" si="9"/>
        <v/>
      </c>
      <c r="I194" s="11" t="str">
        <f t="shared" si="10"/>
        <v/>
      </c>
      <c r="J194" s="11" t="str">
        <f t="shared" si="11"/>
        <v/>
      </c>
    </row>
    <row r="195" spans="1:10">
      <c r="A195" s="3" t="s">
        <v>205</v>
      </c>
      <c r="B195" s="9">
        <f>IF(COUNTIFS(funnel_events_sample!$A$2:$A$543,$A195,funnel_events_sample!$B$2:$B$543,"visited_site")=0,"",_xlfn.MINIFS(funnel_events_sample!$C$2:$C$543,funnel_events_sample!$A$2:$A$543,$A195,funnel_events_sample!$B$2:$B$543,"visited_site"))</f>
        <v>46223.165277777778</v>
      </c>
      <c r="C195" s="9" t="str">
        <f>IF(COUNTIFS(funnel_events_sample!$A$2:$A$543,$A195,funnel_events_sample!$B$2:$B$543,"signup_started")=0,"",_xlfn.MINIFS(funnel_events_sample!$C$2:$C$543,funnel_events_sample!$A$2:$A$543,$A195,funnel_events_sample!$B$2:$B$543,"signup_started"))</f>
        <v/>
      </c>
      <c r="D195" s="9">
        <f>IF(COUNTIFS(funnel_events_sample!$A$2:$A$543,$A195,funnel_events_sample!$B$2:$B$543,"details_filled")=0,"",_xlfn.MINIFS(funnel_events_sample!$C$2:$C$543,funnel_events_sample!$A$2:$A$543,$A195,funnel_events_sample!$B$2:$B$543,"details_filled"))</f>
        <v>46223.17291666667</v>
      </c>
      <c r="E195" s="9" t="str">
        <f>IF(COUNTIFS(funnel_events_sample!$A$2:$A$543,$A195,funnel_events_sample!$B$2:$B$543,"email_verified")=0,"",_xlfn.MINIFS(funnel_events_sample!$C$2:$C$543,funnel_events_sample!$A$2:$A$543,$A195,funnel_events_sample!$B$2:$B$543,"email_verified"))</f>
        <v/>
      </c>
      <c r="F195" s="9" t="str">
        <f>IF(COUNTIFS(funnel_events_sample!$A$2:$A$543,$A195,funnel_events_sample!$B$2:$B$543,"purchase_completed")=0,"",_xlfn.MINIFS(funnel_events_sample!$C$2:$C$543,funnel_events_sample!$A$2:$A$543,$A195,funnel_events_sample!$B$2:$B$543,"purchase_completed"))</f>
        <v/>
      </c>
      <c r="G195" s="11" t="str">
        <f t="shared" ref="G195:G215" si="12">IF(OR(B195="",C195="",C195&lt;B195),"",C195-B195)</f>
        <v/>
      </c>
      <c r="H195" s="11" t="str">
        <f t="shared" ref="H195:H215" si="13">IF(OR(C195="",D195="",D195&lt;C195),"",D195-C195)</f>
        <v/>
      </c>
      <c r="I195" s="11" t="str">
        <f t="shared" ref="I195:I215" si="14">IF(OR(D195="",E195="",E195&lt;D195),"",E195-D195)</f>
        <v/>
      </c>
      <c r="J195" s="11" t="str">
        <f t="shared" ref="J195:J215" si="15">IF(OR(E195="",F195="",F195&lt;E195),"",F195-E195)</f>
        <v/>
      </c>
    </row>
    <row r="196" spans="1:10">
      <c r="A196" s="3" t="s">
        <v>200</v>
      </c>
      <c r="B196" s="9">
        <f>IF(COUNTIFS(funnel_events_sample!$A$2:$A$543,$A196,funnel_events_sample!$B$2:$B$543,"visited_site")=0,"",_xlfn.MINIFS(funnel_events_sample!$C$2:$C$543,funnel_events_sample!$A$2:$A$543,$A196,funnel_events_sample!$B$2:$B$543,"visited_site"))</f>
        <v>46223.171527777777</v>
      </c>
      <c r="C196" s="9" t="str">
        <f>IF(COUNTIFS(funnel_events_sample!$A$2:$A$543,$A196,funnel_events_sample!$B$2:$B$543,"signup_started")=0,"",_xlfn.MINIFS(funnel_events_sample!$C$2:$C$543,funnel_events_sample!$A$2:$A$543,$A196,funnel_events_sample!$B$2:$B$543,"signup_started"))</f>
        <v/>
      </c>
      <c r="D196" s="9">
        <f>IF(COUNTIFS(funnel_events_sample!$A$2:$A$543,$A196,funnel_events_sample!$B$2:$B$543,"details_filled")=0,"",_xlfn.MINIFS(funnel_events_sample!$C$2:$C$543,funnel_events_sample!$A$2:$A$543,$A196,funnel_events_sample!$B$2:$B$543,"details_filled"))</f>
        <v>46223.177777777775</v>
      </c>
      <c r="E196" s="9" t="str">
        <f>IF(COUNTIFS(funnel_events_sample!$A$2:$A$543,$A196,funnel_events_sample!$B$2:$B$543,"email_verified")=0,"",_xlfn.MINIFS(funnel_events_sample!$C$2:$C$543,funnel_events_sample!$A$2:$A$543,$A196,funnel_events_sample!$B$2:$B$543,"email_verified"))</f>
        <v/>
      </c>
      <c r="F196" s="9" t="str">
        <f>IF(COUNTIFS(funnel_events_sample!$A$2:$A$543,$A196,funnel_events_sample!$B$2:$B$543,"purchase_completed")=0,"",_xlfn.MINIFS(funnel_events_sample!$C$2:$C$543,funnel_events_sample!$A$2:$A$543,$A196,funnel_events_sample!$B$2:$B$543,"purchase_completed"))</f>
        <v/>
      </c>
      <c r="G196" s="11" t="str">
        <f t="shared" si="12"/>
        <v/>
      </c>
      <c r="H196" s="11" t="str">
        <f t="shared" si="13"/>
        <v/>
      </c>
      <c r="I196" s="11" t="str">
        <f t="shared" si="14"/>
        <v/>
      </c>
      <c r="J196" s="11" t="str">
        <f t="shared" si="15"/>
        <v/>
      </c>
    </row>
    <row r="197" spans="1:10">
      <c r="A197" s="3" t="s">
        <v>71</v>
      </c>
      <c r="B197" s="9">
        <f>IF(COUNTIFS(funnel_events_sample!$A$2:$A$543,$A197,funnel_events_sample!$B$2:$B$543,"visited_site")=0,"",_xlfn.MINIFS(funnel_events_sample!$C$2:$C$543,funnel_events_sample!$A$2:$A$543,$A197,funnel_events_sample!$B$2:$B$543,"visited_site"))</f>
        <v>46223.152777777781</v>
      </c>
      <c r="C197" s="9" t="str">
        <f>IF(COUNTIFS(funnel_events_sample!$A$2:$A$543,$A197,funnel_events_sample!$B$2:$B$543,"signup_started")=0,"",_xlfn.MINIFS(funnel_events_sample!$C$2:$C$543,funnel_events_sample!$A$2:$A$543,$A197,funnel_events_sample!$B$2:$B$543,"signup_started"))</f>
        <v/>
      </c>
      <c r="D197" s="9">
        <f>IF(COUNTIFS(funnel_events_sample!$A$2:$A$543,$A197,funnel_events_sample!$B$2:$B$543,"details_filled")=0,"",_xlfn.MINIFS(funnel_events_sample!$C$2:$C$543,funnel_events_sample!$A$2:$A$543,$A197,funnel_events_sample!$B$2:$B$543,"details_filled"))</f>
        <v>46223.176388888889</v>
      </c>
      <c r="E197" s="9" t="str">
        <f>IF(COUNTIFS(funnel_events_sample!$A$2:$A$543,$A197,funnel_events_sample!$B$2:$B$543,"email_verified")=0,"",_xlfn.MINIFS(funnel_events_sample!$C$2:$C$543,funnel_events_sample!$A$2:$A$543,$A197,funnel_events_sample!$B$2:$B$543,"email_verified"))</f>
        <v/>
      </c>
      <c r="F197" s="9" t="str">
        <f>IF(COUNTIFS(funnel_events_sample!$A$2:$A$543,$A197,funnel_events_sample!$B$2:$B$543,"purchase_completed")=0,"",_xlfn.MINIFS(funnel_events_sample!$C$2:$C$543,funnel_events_sample!$A$2:$A$543,$A197,funnel_events_sample!$B$2:$B$543,"purchase_completed"))</f>
        <v/>
      </c>
      <c r="G197" s="11" t="str">
        <f t="shared" si="12"/>
        <v/>
      </c>
      <c r="H197" s="11" t="str">
        <f t="shared" si="13"/>
        <v/>
      </c>
      <c r="I197" s="11" t="str">
        <f t="shared" si="14"/>
        <v/>
      </c>
      <c r="J197" s="11" t="str">
        <f t="shared" si="15"/>
        <v/>
      </c>
    </row>
    <row r="198" spans="1:10">
      <c r="A198" s="3" t="s">
        <v>206</v>
      </c>
      <c r="B198" s="9">
        <f>IF(COUNTIFS(funnel_events_sample!$A$2:$A$543,$A198,funnel_events_sample!$B$2:$B$543,"visited_site")=0,"",_xlfn.MINIFS(funnel_events_sample!$C$2:$C$543,funnel_events_sample!$A$2:$A$543,$A198,funnel_events_sample!$B$2:$B$543,"visited_site"))</f>
        <v>46223.172222222223</v>
      </c>
      <c r="C198" s="9" t="str">
        <f>IF(COUNTIFS(funnel_events_sample!$A$2:$A$543,$A198,funnel_events_sample!$B$2:$B$543,"signup_started")=0,"",_xlfn.MINIFS(funnel_events_sample!$C$2:$C$543,funnel_events_sample!$A$2:$A$543,$A198,funnel_events_sample!$B$2:$B$543,"signup_started"))</f>
        <v/>
      </c>
      <c r="D198" s="9">
        <f>IF(COUNTIFS(funnel_events_sample!$A$2:$A$543,$A198,funnel_events_sample!$B$2:$B$543,"details_filled")=0,"",_xlfn.MINIFS(funnel_events_sample!$C$2:$C$543,funnel_events_sample!$A$2:$A$543,$A198,funnel_events_sample!$B$2:$B$543,"details_filled"))</f>
        <v>46223.189583333333</v>
      </c>
      <c r="E198" s="9" t="str">
        <f>IF(COUNTIFS(funnel_events_sample!$A$2:$A$543,$A198,funnel_events_sample!$B$2:$B$543,"email_verified")=0,"",_xlfn.MINIFS(funnel_events_sample!$C$2:$C$543,funnel_events_sample!$A$2:$A$543,$A198,funnel_events_sample!$B$2:$B$543,"email_verified"))</f>
        <v/>
      </c>
      <c r="F198" s="9" t="str">
        <f>IF(COUNTIFS(funnel_events_sample!$A$2:$A$543,$A198,funnel_events_sample!$B$2:$B$543,"purchase_completed")=0,"",_xlfn.MINIFS(funnel_events_sample!$C$2:$C$543,funnel_events_sample!$A$2:$A$543,$A198,funnel_events_sample!$B$2:$B$543,"purchase_completed"))</f>
        <v/>
      </c>
      <c r="G198" s="11" t="str">
        <f t="shared" si="12"/>
        <v/>
      </c>
      <c r="H198" s="11" t="str">
        <f t="shared" si="13"/>
        <v/>
      </c>
      <c r="I198" s="11" t="str">
        <f t="shared" si="14"/>
        <v/>
      </c>
      <c r="J198" s="11" t="str">
        <f t="shared" si="15"/>
        <v/>
      </c>
    </row>
    <row r="199" spans="1:10">
      <c r="A199" s="3" t="s">
        <v>203</v>
      </c>
      <c r="B199" s="9">
        <f>IF(COUNTIFS(funnel_events_sample!$A$2:$A$543,$A199,funnel_events_sample!$B$2:$B$543,"visited_site")=0,"",_xlfn.MINIFS(funnel_events_sample!$C$2:$C$543,funnel_events_sample!$A$2:$A$543,$A199,funnel_events_sample!$B$2:$B$543,"visited_site"))</f>
        <v>46223.154166666667</v>
      </c>
      <c r="C199" s="9" t="str">
        <f>IF(COUNTIFS(funnel_events_sample!$A$2:$A$543,$A199,funnel_events_sample!$B$2:$B$543,"signup_started")=0,"",_xlfn.MINIFS(funnel_events_sample!$C$2:$C$543,funnel_events_sample!$A$2:$A$543,$A199,funnel_events_sample!$B$2:$B$543,"signup_started"))</f>
        <v/>
      </c>
      <c r="D199" s="9">
        <f>IF(COUNTIFS(funnel_events_sample!$A$2:$A$543,$A199,funnel_events_sample!$B$2:$B$543,"details_filled")=0,"",_xlfn.MINIFS(funnel_events_sample!$C$2:$C$543,funnel_events_sample!$A$2:$A$543,$A199,funnel_events_sample!$B$2:$B$543,"details_filled"))</f>
        <v>46223.170138888891</v>
      </c>
      <c r="E199" s="9" t="str">
        <f>IF(COUNTIFS(funnel_events_sample!$A$2:$A$543,$A199,funnel_events_sample!$B$2:$B$543,"email_verified")=0,"",_xlfn.MINIFS(funnel_events_sample!$C$2:$C$543,funnel_events_sample!$A$2:$A$543,$A199,funnel_events_sample!$B$2:$B$543,"email_verified"))</f>
        <v/>
      </c>
      <c r="F199" s="9" t="str">
        <f>IF(COUNTIFS(funnel_events_sample!$A$2:$A$543,$A199,funnel_events_sample!$B$2:$B$543,"purchase_completed")=0,"",_xlfn.MINIFS(funnel_events_sample!$C$2:$C$543,funnel_events_sample!$A$2:$A$543,$A199,funnel_events_sample!$B$2:$B$543,"purchase_completed"))</f>
        <v/>
      </c>
      <c r="G199" s="11" t="str">
        <f t="shared" si="12"/>
        <v/>
      </c>
      <c r="H199" s="11" t="str">
        <f t="shared" si="13"/>
        <v/>
      </c>
      <c r="I199" s="11" t="str">
        <f t="shared" si="14"/>
        <v/>
      </c>
      <c r="J199" s="11" t="str">
        <f t="shared" si="15"/>
        <v/>
      </c>
    </row>
    <row r="200" spans="1:10">
      <c r="A200" s="3" t="s">
        <v>158</v>
      </c>
      <c r="B200" s="9">
        <f>IF(COUNTIFS(funnel_events_sample!$A$2:$A$543,$A200,funnel_events_sample!$B$2:$B$543,"visited_site")=0,"",_xlfn.MINIFS(funnel_events_sample!$C$2:$C$543,funnel_events_sample!$A$2:$A$543,$A200,funnel_events_sample!$B$2:$B$543,"visited_site"))</f>
        <v>46223.163194444445</v>
      </c>
      <c r="C200" s="9" t="str">
        <f>IF(COUNTIFS(funnel_events_sample!$A$2:$A$543,$A200,funnel_events_sample!$B$2:$B$543,"signup_started")=0,"",_xlfn.MINIFS(funnel_events_sample!$C$2:$C$543,funnel_events_sample!$A$2:$A$543,$A200,funnel_events_sample!$B$2:$B$543,"signup_started"))</f>
        <v/>
      </c>
      <c r="D200" s="9">
        <f>IF(COUNTIFS(funnel_events_sample!$A$2:$A$543,$A200,funnel_events_sample!$B$2:$B$543,"details_filled")=0,"",_xlfn.MINIFS(funnel_events_sample!$C$2:$C$543,funnel_events_sample!$A$2:$A$543,$A200,funnel_events_sample!$B$2:$B$543,"details_filled"))</f>
        <v>46223.171527777777</v>
      </c>
      <c r="E200" s="9" t="str">
        <f>IF(COUNTIFS(funnel_events_sample!$A$2:$A$543,$A200,funnel_events_sample!$B$2:$B$543,"email_verified")=0,"",_xlfn.MINIFS(funnel_events_sample!$C$2:$C$543,funnel_events_sample!$A$2:$A$543,$A200,funnel_events_sample!$B$2:$B$543,"email_verified"))</f>
        <v/>
      </c>
      <c r="F200" s="9" t="str">
        <f>IF(COUNTIFS(funnel_events_sample!$A$2:$A$543,$A200,funnel_events_sample!$B$2:$B$543,"purchase_completed")=0,"",_xlfn.MINIFS(funnel_events_sample!$C$2:$C$543,funnel_events_sample!$A$2:$A$543,$A200,funnel_events_sample!$B$2:$B$543,"purchase_completed"))</f>
        <v/>
      </c>
      <c r="G200" s="11" t="str">
        <f t="shared" si="12"/>
        <v/>
      </c>
      <c r="H200" s="11" t="str">
        <f t="shared" si="13"/>
        <v/>
      </c>
      <c r="I200" s="11" t="str">
        <f t="shared" si="14"/>
        <v/>
      </c>
      <c r="J200" s="11" t="str">
        <f t="shared" si="15"/>
        <v/>
      </c>
    </row>
    <row r="201" spans="1:10">
      <c r="A201" s="3" t="s">
        <v>93</v>
      </c>
      <c r="B201" s="9">
        <f>IF(COUNTIFS(funnel_events_sample!$A$2:$A$543,$A201,funnel_events_sample!$B$2:$B$543,"visited_site")=0,"",_xlfn.MINIFS(funnel_events_sample!$C$2:$C$543,funnel_events_sample!$A$2:$A$543,$A201,funnel_events_sample!$B$2:$B$543,"visited_site"))</f>
        <v>46223.15</v>
      </c>
      <c r="C201" s="9" t="str">
        <f>IF(COUNTIFS(funnel_events_sample!$A$2:$A$543,$A201,funnel_events_sample!$B$2:$B$543,"signup_started")=0,"",_xlfn.MINIFS(funnel_events_sample!$C$2:$C$543,funnel_events_sample!$A$2:$A$543,$A201,funnel_events_sample!$B$2:$B$543,"signup_started"))</f>
        <v/>
      </c>
      <c r="D201" s="9">
        <f>IF(COUNTIFS(funnel_events_sample!$A$2:$A$543,$A201,funnel_events_sample!$B$2:$B$543,"details_filled")=0,"",_xlfn.MINIFS(funnel_events_sample!$C$2:$C$543,funnel_events_sample!$A$2:$A$543,$A201,funnel_events_sample!$B$2:$B$543,"details_filled"))</f>
        <v>46223.181944444441</v>
      </c>
      <c r="E201" s="9" t="str">
        <f>IF(COUNTIFS(funnel_events_sample!$A$2:$A$543,$A201,funnel_events_sample!$B$2:$B$543,"email_verified")=0,"",_xlfn.MINIFS(funnel_events_sample!$C$2:$C$543,funnel_events_sample!$A$2:$A$543,$A201,funnel_events_sample!$B$2:$B$543,"email_verified"))</f>
        <v/>
      </c>
      <c r="F201" s="9" t="str">
        <f>IF(COUNTIFS(funnel_events_sample!$A$2:$A$543,$A201,funnel_events_sample!$B$2:$B$543,"purchase_completed")=0,"",_xlfn.MINIFS(funnel_events_sample!$C$2:$C$543,funnel_events_sample!$A$2:$A$543,$A201,funnel_events_sample!$B$2:$B$543,"purchase_completed"))</f>
        <v/>
      </c>
      <c r="G201" s="11" t="str">
        <f t="shared" si="12"/>
        <v/>
      </c>
      <c r="H201" s="11" t="str">
        <f t="shared" si="13"/>
        <v/>
      </c>
      <c r="I201" s="11" t="str">
        <f t="shared" si="14"/>
        <v/>
      </c>
      <c r="J201" s="11" t="str">
        <f t="shared" si="15"/>
        <v/>
      </c>
    </row>
    <row r="202" spans="1:10">
      <c r="C202" s="9" t="str">
        <f>IF(COUNTIFS(funnel_events_sample!$A$2:$A$543,$A202,funnel_events_sample!$B$2:$B$543,"signup_started")=0,"",_xlfn.MINIFS(funnel_events_sample!$C$2:$C$543,funnel_events_sample!$A$2:$A$543,$A202,funnel_events_sample!$B$2:$B$543,"signup_started"))</f>
        <v/>
      </c>
      <c r="D202" s="9" t="str">
        <f>IF(COUNTIFS(funnel_events_sample!$A$2:$A$543,$A202,funnel_events_sample!$B$2:$B$543,"details_filled")=0,"",_xlfn.MINIFS(funnel_events_sample!$C$2:$C$543,funnel_events_sample!$A$2:$A$543,$A202,funnel_events_sample!$B$2:$B$543,"details_filled"))</f>
        <v/>
      </c>
      <c r="E202" s="9" t="str">
        <f>IF(COUNTIFS(funnel_events_sample!$A$2:$A$543,$A202,funnel_events_sample!$B$2:$B$543,"email_verified")=0,"",_xlfn.MINIFS(funnel_events_sample!$C$2:$C$543,funnel_events_sample!$A$2:$A$543,$A202,funnel_events_sample!$B$2:$B$543,"email_verified"))</f>
        <v/>
      </c>
      <c r="F202" s="9" t="str">
        <f>IF(COUNTIFS(funnel_events_sample!$A$2:$A$543,$A202,funnel_events_sample!$B$2:$B$543,"purchase_completed")=0,"",_xlfn.MINIFS(funnel_events_sample!$C$2:$C$543,funnel_events_sample!$A$2:$A$543,$A202,funnel_events_sample!$B$2:$B$543,"purchase_completed"))</f>
        <v/>
      </c>
      <c r="G202" s="11" t="str">
        <f t="shared" si="12"/>
        <v/>
      </c>
      <c r="H202" s="11" t="str">
        <f t="shared" si="13"/>
        <v/>
      </c>
      <c r="I202" s="11" t="str">
        <f t="shared" si="14"/>
        <v/>
      </c>
      <c r="J202" s="11" t="str">
        <f t="shared" si="15"/>
        <v/>
      </c>
    </row>
    <row r="203" spans="1:10">
      <c r="C203" s="9" t="str">
        <f>IF(COUNTIFS(funnel_events_sample!$A$2:$A$543,$A203,funnel_events_sample!$B$2:$B$543,"signup_started")=0,"",_xlfn.MINIFS(funnel_events_sample!$C$2:$C$543,funnel_events_sample!$A$2:$A$543,$A203,funnel_events_sample!$B$2:$B$543,"signup_started"))</f>
        <v/>
      </c>
      <c r="D203" s="9" t="str">
        <f>IF(COUNTIFS(funnel_events_sample!$A$2:$A$543,$A203,funnel_events_sample!$B$2:$B$543,"details_filled")=0,"",_xlfn.MINIFS(funnel_events_sample!$C$2:$C$543,funnel_events_sample!$A$2:$A$543,$A203,funnel_events_sample!$B$2:$B$543,"details_filled"))</f>
        <v/>
      </c>
      <c r="E203" s="9" t="str">
        <f>IF(COUNTIFS(funnel_events_sample!$A$2:$A$543,$A203,funnel_events_sample!$B$2:$B$543,"email_verified")=0,"",_xlfn.MINIFS(funnel_events_sample!$C$2:$C$543,funnel_events_sample!$A$2:$A$543,$A203,funnel_events_sample!$B$2:$B$543,"email_verified"))</f>
        <v/>
      </c>
      <c r="F203" s="9" t="str">
        <f>IF(COUNTIFS(funnel_events_sample!$A$2:$A$543,$A203,funnel_events_sample!$B$2:$B$543,"purchase_completed")=0,"",_xlfn.MINIFS(funnel_events_sample!$C$2:$C$543,funnel_events_sample!$A$2:$A$543,$A203,funnel_events_sample!$B$2:$B$543,"purchase_completed"))</f>
        <v/>
      </c>
      <c r="G203" s="11" t="str">
        <f t="shared" si="12"/>
        <v/>
      </c>
      <c r="H203" s="11" t="str">
        <f t="shared" si="13"/>
        <v/>
      </c>
      <c r="I203" s="11" t="str">
        <f t="shared" si="14"/>
        <v/>
      </c>
      <c r="J203" s="11" t="str">
        <f t="shared" si="15"/>
        <v/>
      </c>
    </row>
    <row r="204" spans="1:10">
      <c r="F204" s="9" t="str">
        <f>IF(COUNTIFS(funnel_events_sample!$A$2:$A$543,$A204,funnel_events_sample!$B$2:$B$543,"purchase_completed")=0,"",_xlfn.MINIFS(funnel_events_sample!$C$2:$C$543,funnel_events_sample!$A$2:$A$543,$A204,funnel_events_sample!$B$2:$B$543,"purchase_completed"))</f>
        <v/>
      </c>
      <c r="G204" s="11" t="str">
        <f t="shared" si="12"/>
        <v/>
      </c>
      <c r="H204" s="11" t="str">
        <f t="shared" si="13"/>
        <v/>
      </c>
      <c r="I204" s="11" t="str">
        <f t="shared" si="14"/>
        <v/>
      </c>
      <c r="J204" s="11" t="str">
        <f t="shared" si="15"/>
        <v/>
      </c>
    </row>
    <row r="205" spans="1:10">
      <c r="F205" s="9" t="str">
        <f>IF(COUNTIFS(funnel_events_sample!$A$2:$A$543,$A205,funnel_events_sample!$B$2:$B$543,"purchase_completed")=0,"",_xlfn.MINIFS(funnel_events_sample!$C$2:$C$543,funnel_events_sample!$A$2:$A$543,$A205,funnel_events_sample!$B$2:$B$543,"purchase_completed"))</f>
        <v/>
      </c>
      <c r="G205" s="11" t="str">
        <f t="shared" si="12"/>
        <v/>
      </c>
      <c r="H205" s="11" t="str">
        <f t="shared" si="13"/>
        <v/>
      </c>
      <c r="I205" s="11" t="str">
        <f t="shared" si="14"/>
        <v/>
      </c>
      <c r="J205" s="11" t="str">
        <f t="shared" si="15"/>
        <v/>
      </c>
    </row>
    <row r="206" spans="1:10">
      <c r="F206" s="9" t="str">
        <f>IF(COUNTIFS(funnel_events_sample!$A$2:$A$543,$A206,funnel_events_sample!$B$2:$B$543,"purchase_completed")=0,"",_xlfn.MINIFS(funnel_events_sample!$C$2:$C$543,funnel_events_sample!$A$2:$A$543,$A206,funnel_events_sample!$B$2:$B$543,"purchase_completed"))</f>
        <v/>
      </c>
      <c r="G206" s="11" t="str">
        <f t="shared" si="12"/>
        <v/>
      </c>
      <c r="H206" s="11" t="str">
        <f t="shared" si="13"/>
        <v/>
      </c>
      <c r="I206" s="11" t="str">
        <f t="shared" si="14"/>
        <v/>
      </c>
      <c r="J206" s="11" t="str">
        <f t="shared" si="15"/>
        <v/>
      </c>
    </row>
    <row r="207" spans="1:10">
      <c r="F207" s="9" t="str">
        <f>IF(COUNTIFS(funnel_events_sample!$A$2:$A$543,$A207,funnel_events_sample!$B$2:$B$543,"purchase_completed")=0,"",_xlfn.MINIFS(funnel_events_sample!$C$2:$C$543,funnel_events_sample!$A$2:$A$543,$A207,funnel_events_sample!$B$2:$B$543,"purchase_completed"))</f>
        <v/>
      </c>
      <c r="G207" s="11" t="str">
        <f t="shared" si="12"/>
        <v/>
      </c>
      <c r="H207" s="11" t="str">
        <f t="shared" si="13"/>
        <v/>
      </c>
      <c r="I207" s="11" t="str">
        <f t="shared" si="14"/>
        <v/>
      </c>
      <c r="J207" s="11" t="str">
        <f t="shared" si="15"/>
        <v/>
      </c>
    </row>
    <row r="208" spans="1:10">
      <c r="F208" s="9" t="str">
        <f>IF(COUNTIFS(funnel_events_sample!$A$2:$A$543,$A208,funnel_events_sample!$B$2:$B$543,"purchase_completed")=0,"",_xlfn.MINIFS(funnel_events_sample!$C$2:$C$543,funnel_events_sample!$A$2:$A$543,$A208,funnel_events_sample!$B$2:$B$543,"purchase_completed"))</f>
        <v/>
      </c>
      <c r="G208" s="11" t="str">
        <f t="shared" si="12"/>
        <v/>
      </c>
      <c r="H208" s="11" t="str">
        <f t="shared" si="13"/>
        <v/>
      </c>
      <c r="I208" s="11" t="str">
        <f t="shared" si="14"/>
        <v/>
      </c>
      <c r="J208" s="11" t="str">
        <f t="shared" si="15"/>
        <v/>
      </c>
    </row>
    <row r="209" spans="6:10">
      <c r="F209" s="9" t="str">
        <f>IF(COUNTIFS(funnel_events_sample!$A$2:$A$543,$A209,funnel_events_sample!$B$2:$B$543,"purchase_completed")=0,"",_xlfn.MINIFS(funnel_events_sample!$C$2:$C$543,funnel_events_sample!$A$2:$A$543,$A209,funnel_events_sample!$B$2:$B$543,"purchase_completed"))</f>
        <v/>
      </c>
      <c r="G209" s="11" t="str">
        <f t="shared" si="12"/>
        <v/>
      </c>
      <c r="H209" s="11" t="str">
        <f t="shared" si="13"/>
        <v/>
      </c>
      <c r="I209" s="11" t="str">
        <f t="shared" si="14"/>
        <v/>
      </c>
      <c r="J209" s="11" t="str">
        <f t="shared" si="15"/>
        <v/>
      </c>
    </row>
    <row r="210" spans="6:10">
      <c r="F210" s="9" t="str">
        <f>IF(COUNTIFS(funnel_events_sample!$A$2:$A$543,$A210,funnel_events_sample!$B$2:$B$543,"purchase_completed")=0,"",_xlfn.MINIFS(funnel_events_sample!$C$2:$C$543,funnel_events_sample!$A$2:$A$543,$A210,funnel_events_sample!$B$2:$B$543,"purchase_completed"))</f>
        <v/>
      </c>
      <c r="G210" s="11" t="str">
        <f t="shared" si="12"/>
        <v/>
      </c>
      <c r="H210" s="11" t="str">
        <f t="shared" si="13"/>
        <v/>
      </c>
      <c r="I210" s="11" t="str">
        <f t="shared" si="14"/>
        <v/>
      </c>
      <c r="J210" s="11" t="str">
        <f t="shared" si="15"/>
        <v/>
      </c>
    </row>
    <row r="211" spans="6:10">
      <c r="F211" s="9" t="str">
        <f>IF(COUNTIFS(funnel_events_sample!$A$2:$A$543,$A211,funnel_events_sample!$B$2:$B$543,"purchase_completed")=0,"",_xlfn.MINIFS(funnel_events_sample!$C$2:$C$543,funnel_events_sample!$A$2:$A$543,$A211,funnel_events_sample!$B$2:$B$543,"purchase_completed"))</f>
        <v/>
      </c>
      <c r="G211" s="11" t="str">
        <f t="shared" si="12"/>
        <v/>
      </c>
      <c r="H211" s="11" t="str">
        <f t="shared" si="13"/>
        <v/>
      </c>
      <c r="I211" s="11" t="str">
        <f t="shared" si="14"/>
        <v/>
      </c>
      <c r="J211" s="11" t="str">
        <f t="shared" si="15"/>
        <v/>
      </c>
    </row>
    <row r="212" spans="6:10">
      <c r="F212" s="9" t="str">
        <f>IF(COUNTIFS(funnel_events_sample!$A$2:$A$543,$A212,funnel_events_sample!$B$2:$B$543,"purchase_completed")=0,"",_xlfn.MINIFS(funnel_events_sample!$C$2:$C$543,funnel_events_sample!$A$2:$A$543,$A212,funnel_events_sample!$B$2:$B$543,"purchase_completed"))</f>
        <v/>
      </c>
      <c r="G212" s="11" t="str">
        <f t="shared" si="12"/>
        <v/>
      </c>
      <c r="H212" s="11" t="str">
        <f t="shared" si="13"/>
        <v/>
      </c>
      <c r="I212" s="11" t="str">
        <f t="shared" si="14"/>
        <v/>
      </c>
      <c r="J212" s="11" t="str">
        <f t="shared" si="15"/>
        <v/>
      </c>
    </row>
    <row r="213" spans="6:10">
      <c r="F213" s="9" t="str">
        <f>IF(COUNTIFS(funnel_events_sample!$A$2:$A$543,$A213,funnel_events_sample!$B$2:$B$543,"purchase_completed")=0,"",_xlfn.MINIFS(funnel_events_sample!$C$2:$C$543,funnel_events_sample!$A$2:$A$543,$A213,funnel_events_sample!$B$2:$B$543,"purchase_completed"))</f>
        <v/>
      </c>
      <c r="G213" s="11" t="str">
        <f t="shared" si="12"/>
        <v/>
      </c>
      <c r="H213" s="11" t="str">
        <f t="shared" si="13"/>
        <v/>
      </c>
      <c r="I213" s="11" t="str">
        <f t="shared" si="14"/>
        <v/>
      </c>
      <c r="J213" s="11" t="str">
        <f t="shared" si="15"/>
        <v/>
      </c>
    </row>
    <row r="214" spans="6:10">
      <c r="F214" s="9" t="str">
        <f>IF(COUNTIFS(funnel_events_sample!$A$2:$A$543,$A214,funnel_events_sample!$B$2:$B$543,"purchase_completed")=0,"",_xlfn.MINIFS(funnel_events_sample!$C$2:$C$543,funnel_events_sample!$A$2:$A$543,$A214,funnel_events_sample!$B$2:$B$543,"purchase_completed"))</f>
        <v/>
      </c>
      <c r="G214" s="11" t="str">
        <f t="shared" si="12"/>
        <v/>
      </c>
      <c r="H214" s="11" t="str">
        <f t="shared" si="13"/>
        <v/>
      </c>
      <c r="I214" s="11" t="str">
        <f t="shared" si="14"/>
        <v/>
      </c>
      <c r="J214" s="11" t="str">
        <f t="shared" si="15"/>
        <v/>
      </c>
    </row>
    <row r="215" spans="6:10">
      <c r="F215" s="9" t="str">
        <f>IF(COUNTIFS(funnel_events_sample!$A$2:$A$543,$A215,funnel_events_sample!$B$2:$B$543,"purchase_completed")=0,"",_xlfn.MINIFS(funnel_events_sample!$C$2:$C$543,funnel_events_sample!$A$2:$A$543,$A215,funnel_events_sample!$B$2:$B$543,"purchase_completed"))</f>
        <v/>
      </c>
      <c r="G215" s="11" t="str">
        <f t="shared" si="12"/>
        <v/>
      </c>
      <c r="H215" s="11" t="str">
        <f t="shared" si="13"/>
        <v/>
      </c>
      <c r="I215" s="11" t="str">
        <f t="shared" si="14"/>
        <v/>
      </c>
      <c r="J215" s="11" t="str">
        <f t="shared" si="15"/>
        <v/>
      </c>
    </row>
    <row r="216" spans="6:10">
      <c r="G216" s="11"/>
      <c r="H216" s="11"/>
      <c r="I216" s="11"/>
      <c r="J216" s="11"/>
    </row>
    <row r="217" spans="6:10">
      <c r="G217" s="11"/>
      <c r="H217" s="11"/>
      <c r="I217" s="11"/>
      <c r="J217" s="11"/>
    </row>
    <row r="218" spans="6:10">
      <c r="G218" s="11"/>
      <c r="H218" s="11"/>
      <c r="I218" s="11"/>
      <c r="J218" s="11"/>
    </row>
    <row r="219" spans="6:10">
      <c r="G219" s="11"/>
      <c r="H219" s="11"/>
      <c r="I219" s="11"/>
      <c r="J219" s="11"/>
    </row>
    <row r="220" spans="6:10">
      <c r="G220" s="11"/>
      <c r="H220" s="11"/>
      <c r="I220" s="11"/>
      <c r="J220" s="11"/>
    </row>
    <row r="221" spans="6:10">
      <c r="G221" s="11"/>
      <c r="H221" s="11"/>
      <c r="I221" s="11"/>
      <c r="J221" s="11"/>
    </row>
    <row r="222" spans="6:10">
      <c r="G222" s="11"/>
      <c r="H222" s="11"/>
      <c r="I222" s="11"/>
      <c r="J222" s="11"/>
    </row>
    <row r="223" spans="6:10">
      <c r="G223" s="11"/>
      <c r="H223" s="11"/>
      <c r="I223" s="11"/>
      <c r="J223" s="11"/>
    </row>
    <row r="224" spans="6:10">
      <c r="G224" s="11"/>
      <c r="H224" s="11"/>
      <c r="I224" s="11"/>
      <c r="J224" s="11"/>
    </row>
    <row r="225" spans="7:10">
      <c r="G225" s="11"/>
      <c r="H225" s="11"/>
      <c r="I225" s="11"/>
      <c r="J225" s="11"/>
    </row>
    <row r="226" spans="7:10">
      <c r="G226" s="11"/>
      <c r="H226" s="11"/>
      <c r="I226" s="11"/>
      <c r="J226" s="11"/>
    </row>
    <row r="227" spans="7:10">
      <c r="G227" s="11"/>
      <c r="H227" s="11"/>
      <c r="I227" s="11"/>
      <c r="J227" s="11"/>
    </row>
    <row r="228" spans="7:10">
      <c r="G228" s="11"/>
      <c r="H228" s="11"/>
      <c r="I228" s="11"/>
      <c r="J228" s="11"/>
    </row>
    <row r="229" spans="7:10">
      <c r="G229" s="11"/>
      <c r="H229" s="11"/>
      <c r="I229" s="11"/>
      <c r="J229" s="11"/>
    </row>
    <row r="230" spans="7:10">
      <c r="G230" s="11"/>
      <c r="H230" s="11"/>
      <c r="I230" s="11"/>
      <c r="J230" s="11"/>
    </row>
    <row r="231" spans="7:10">
      <c r="G231" s="11"/>
      <c r="H231" s="11"/>
      <c r="I231" s="11"/>
      <c r="J231" s="11"/>
    </row>
    <row r="232" spans="7:10">
      <c r="G232" s="11"/>
      <c r="H232" s="11"/>
      <c r="I232" s="11"/>
      <c r="J232" s="11"/>
    </row>
    <row r="233" spans="7:10">
      <c r="G233" s="11"/>
      <c r="H233" s="11"/>
      <c r="I233" s="11"/>
      <c r="J233" s="11"/>
    </row>
    <row r="234" spans="7:10">
      <c r="G234" s="11"/>
      <c r="H234" s="11"/>
      <c r="I234" s="11"/>
      <c r="J234" s="11"/>
    </row>
    <row r="235" spans="7:10">
      <c r="G235" s="11"/>
      <c r="H235" s="11"/>
      <c r="I235" s="11"/>
      <c r="J235" s="11"/>
    </row>
    <row r="236" spans="7:10">
      <c r="G236" s="11"/>
      <c r="H236" s="11"/>
      <c r="I236" s="11"/>
      <c r="J236" s="11"/>
    </row>
    <row r="237" spans="7:10">
      <c r="G237" s="11"/>
      <c r="H237" s="11"/>
      <c r="I237" s="11"/>
      <c r="J237" s="11"/>
    </row>
    <row r="238" spans="7:10">
      <c r="G238" s="11"/>
      <c r="H238" s="11"/>
      <c r="I238" s="11"/>
      <c r="J238" s="11"/>
    </row>
    <row r="239" spans="7:10">
      <c r="G239" s="11"/>
      <c r="H239" s="11"/>
      <c r="I239" s="11"/>
      <c r="J239" s="11"/>
    </row>
    <row r="240" spans="7:10">
      <c r="G240" s="11"/>
      <c r="H240" s="11"/>
      <c r="I240" s="11"/>
      <c r="J240" s="11"/>
    </row>
    <row r="241" spans="7:10">
      <c r="G241" s="11"/>
      <c r="H241" s="11"/>
      <c r="I241" s="11"/>
      <c r="J241" s="11"/>
    </row>
    <row r="242" spans="7:10">
      <c r="G242" s="11"/>
      <c r="H242" s="11"/>
      <c r="I242" s="11"/>
      <c r="J242" s="11"/>
    </row>
    <row r="243" spans="7:10">
      <c r="G243" s="11"/>
      <c r="H243" s="11"/>
      <c r="I243" s="11"/>
      <c r="J243" s="11"/>
    </row>
    <row r="244" spans="7:10">
      <c r="G244" s="11"/>
      <c r="H244" s="11"/>
      <c r="I244" s="11"/>
      <c r="J244" s="11"/>
    </row>
    <row r="245" spans="7:10">
      <c r="G245" s="11"/>
      <c r="H245" s="11"/>
      <c r="I245" s="11"/>
      <c r="J245" s="11"/>
    </row>
    <row r="246" spans="7:10">
      <c r="G246" s="11"/>
      <c r="H246" s="11"/>
      <c r="I246" s="11"/>
      <c r="J246" s="11"/>
    </row>
    <row r="247" spans="7:10">
      <c r="G247" s="11"/>
      <c r="H247" s="11"/>
      <c r="I247" s="11"/>
      <c r="J247" s="11"/>
    </row>
    <row r="248" spans="7:10">
      <c r="G248" s="11"/>
      <c r="H248" s="11"/>
      <c r="I248" s="11"/>
      <c r="J248" s="11"/>
    </row>
    <row r="249" spans="7:10">
      <c r="G249" s="11"/>
      <c r="H249" s="11"/>
      <c r="I249" s="11"/>
      <c r="J249" s="11"/>
    </row>
    <row r="250" spans="7:10">
      <c r="G250" s="11"/>
      <c r="H250" s="11"/>
      <c r="I250" s="11"/>
      <c r="J250" s="11"/>
    </row>
    <row r="251" spans="7:10">
      <c r="G251" s="11"/>
      <c r="H251" s="11"/>
      <c r="I251" s="11"/>
      <c r="J251" s="11"/>
    </row>
    <row r="252" spans="7:10">
      <c r="G252" s="11"/>
      <c r="H252" s="11"/>
      <c r="I252" s="11"/>
      <c r="J252" s="11"/>
    </row>
    <row r="253" spans="7:10">
      <c r="G253" s="11"/>
      <c r="H253" s="11"/>
      <c r="I253" s="11"/>
      <c r="J253" s="11"/>
    </row>
    <row r="254" spans="7:10">
      <c r="G254" s="11"/>
      <c r="H254" s="11"/>
      <c r="I254" s="11"/>
      <c r="J254" s="11"/>
    </row>
    <row r="255" spans="7:10">
      <c r="G255" s="11"/>
      <c r="H255" s="11"/>
      <c r="I255" s="11"/>
      <c r="J255" s="11"/>
    </row>
    <row r="256" spans="7:10">
      <c r="G256" s="11"/>
      <c r="H256" s="11"/>
      <c r="I256" s="11"/>
      <c r="J256" s="11"/>
    </row>
    <row r="257" spans="7:10">
      <c r="G257" s="11"/>
      <c r="H257" s="11"/>
      <c r="I257" s="11"/>
      <c r="J257" s="11"/>
    </row>
    <row r="258" spans="7:10">
      <c r="G258" s="11"/>
      <c r="H258" s="11"/>
      <c r="I258" s="11"/>
      <c r="J258" s="11"/>
    </row>
    <row r="259" spans="7:10">
      <c r="G259" s="11"/>
      <c r="H259" s="11"/>
      <c r="I259" s="11"/>
      <c r="J259" s="11"/>
    </row>
    <row r="260" spans="7:10">
      <c r="G260" s="11"/>
      <c r="H260" s="11"/>
      <c r="I260" s="11"/>
      <c r="J260" s="11"/>
    </row>
    <row r="261" spans="7:10">
      <c r="G261" s="11"/>
      <c r="H261" s="11"/>
      <c r="I261" s="11"/>
      <c r="J261" s="11"/>
    </row>
    <row r="262" spans="7:10">
      <c r="G262" s="11"/>
      <c r="H262" s="11"/>
      <c r="I262" s="11"/>
      <c r="J262" s="11"/>
    </row>
    <row r="263" spans="7:10">
      <c r="G263" s="11"/>
      <c r="H263" s="11"/>
      <c r="I263" s="11"/>
      <c r="J263" s="11"/>
    </row>
    <row r="264" spans="7:10">
      <c r="G264" s="11"/>
      <c r="H264" s="11"/>
      <c r="I264" s="11"/>
      <c r="J264" s="11"/>
    </row>
    <row r="265" spans="7:10">
      <c r="G265" s="11"/>
      <c r="H265" s="11"/>
      <c r="I265" s="11"/>
      <c r="J265" s="11"/>
    </row>
    <row r="266" spans="7:10">
      <c r="G266" s="11"/>
      <c r="H266" s="11"/>
      <c r="I266" s="11"/>
      <c r="J266" s="11"/>
    </row>
    <row r="267" spans="7:10">
      <c r="G267" s="11"/>
      <c r="H267" s="11"/>
      <c r="I267" s="11"/>
      <c r="J267" s="11"/>
    </row>
    <row r="268" spans="7:10">
      <c r="G268" s="11"/>
      <c r="H268" s="11"/>
      <c r="I268" s="11"/>
      <c r="J268" s="11"/>
    </row>
    <row r="269" spans="7:10">
      <c r="G269" s="11"/>
      <c r="H269" s="11"/>
      <c r="I269" s="11"/>
      <c r="J269" s="11"/>
    </row>
    <row r="270" spans="7:10">
      <c r="G270" s="11"/>
      <c r="H270" s="11"/>
      <c r="I270" s="11"/>
      <c r="J270" s="11"/>
    </row>
    <row r="271" spans="7:10">
      <c r="G271" s="11"/>
      <c r="H271" s="11"/>
      <c r="I271" s="11"/>
      <c r="J271" s="11"/>
    </row>
    <row r="272" spans="7:10">
      <c r="G272" s="11"/>
      <c r="H272" s="11"/>
      <c r="I272" s="11"/>
      <c r="J272" s="11"/>
    </row>
    <row r="273" spans="7:10">
      <c r="G273" s="11"/>
      <c r="H273" s="11"/>
      <c r="I273" s="11"/>
      <c r="J273" s="11"/>
    </row>
    <row r="274" spans="7:10">
      <c r="G274" s="11"/>
      <c r="H274" s="11"/>
      <c r="I274" s="11"/>
      <c r="J274" s="11"/>
    </row>
    <row r="275" spans="7:10">
      <c r="G275" s="11"/>
      <c r="H275" s="11"/>
      <c r="I275" s="11"/>
      <c r="J275" s="11"/>
    </row>
    <row r="276" spans="7:10">
      <c r="G276" s="11"/>
      <c r="H276" s="11"/>
      <c r="I276" s="11"/>
      <c r="J276" s="11"/>
    </row>
    <row r="277" spans="7:10">
      <c r="G277" s="11"/>
      <c r="H277" s="11"/>
      <c r="I277" s="11"/>
      <c r="J277" s="11"/>
    </row>
    <row r="278" spans="7:10">
      <c r="G278" s="11"/>
      <c r="H278" s="11"/>
      <c r="I278" s="11"/>
      <c r="J278" s="11"/>
    </row>
    <row r="279" spans="7:10">
      <c r="G279" s="11"/>
      <c r="H279" s="11"/>
      <c r="I279" s="11"/>
      <c r="J279" s="11"/>
    </row>
    <row r="280" spans="7:10">
      <c r="G280" s="11"/>
      <c r="H280" s="11"/>
      <c r="I280" s="11"/>
      <c r="J280" s="11"/>
    </row>
    <row r="281" spans="7:10">
      <c r="G281" s="11"/>
      <c r="H281" s="11"/>
      <c r="I281" s="11"/>
      <c r="J281" s="11"/>
    </row>
    <row r="282" spans="7:10">
      <c r="G282" s="11"/>
      <c r="H282" s="11"/>
      <c r="I282" s="11"/>
      <c r="J282" s="11"/>
    </row>
    <row r="283" spans="7:10">
      <c r="G283" s="11"/>
      <c r="H283" s="11"/>
      <c r="I283" s="11"/>
      <c r="J283" s="11"/>
    </row>
    <row r="284" spans="7:10">
      <c r="G284" s="11"/>
      <c r="H284" s="11"/>
      <c r="I284" s="11"/>
      <c r="J28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2321-7798-4BF5-9C80-2F80E3AEADD3}">
  <dimension ref="A3:A204"/>
  <sheetViews>
    <sheetView zoomScale="78" workbookViewId="0">
      <selection activeCell="A4" sqref="A4:A203"/>
    </sheetView>
  </sheetViews>
  <sheetFormatPr defaultRowHeight="15"/>
  <cols>
    <col min="1" max="1" width="13.42578125" bestFit="1" customWidth="1"/>
  </cols>
  <sheetData>
    <row r="3" spans="1:1">
      <c r="A3" s="2" t="s">
        <v>208</v>
      </c>
    </row>
    <row r="4" spans="1:1">
      <c r="A4" s="3" t="s">
        <v>188</v>
      </c>
    </row>
    <row r="5" spans="1:1">
      <c r="A5" s="3" t="s">
        <v>53</v>
      </c>
    </row>
    <row r="6" spans="1:1">
      <c r="A6" s="3" t="s">
        <v>83</v>
      </c>
    </row>
    <row r="7" spans="1:1">
      <c r="A7" s="3" t="s">
        <v>85</v>
      </c>
    </row>
    <row r="8" spans="1:1">
      <c r="A8" s="3" t="s">
        <v>10</v>
      </c>
    </row>
    <row r="9" spans="1:1">
      <c r="A9" s="3" t="s">
        <v>59</v>
      </c>
    </row>
    <row r="10" spans="1:1">
      <c r="A10" s="3" t="s">
        <v>18</v>
      </c>
    </row>
    <row r="11" spans="1:1">
      <c r="A11" s="3" t="s">
        <v>180</v>
      </c>
    </row>
    <row r="12" spans="1:1">
      <c r="A12" s="3" t="s">
        <v>73</v>
      </c>
    </row>
    <row r="13" spans="1:1">
      <c r="A13" s="3" t="s">
        <v>74</v>
      </c>
    </row>
    <row r="14" spans="1:1">
      <c r="A14" s="3" t="s">
        <v>65</v>
      </c>
    </row>
    <row r="15" spans="1:1">
      <c r="A15" s="3" t="s">
        <v>34</v>
      </c>
    </row>
    <row r="16" spans="1:1">
      <c r="A16" s="3" t="s">
        <v>28</v>
      </c>
    </row>
    <row r="17" spans="1:1">
      <c r="A17" s="3" t="s">
        <v>14</v>
      </c>
    </row>
    <row r="18" spans="1:1">
      <c r="A18" s="3" t="s">
        <v>103</v>
      </c>
    </row>
    <row r="19" spans="1:1">
      <c r="A19" s="3" t="s">
        <v>44</v>
      </c>
    </row>
    <row r="20" spans="1:1">
      <c r="A20" s="3" t="s">
        <v>63</v>
      </c>
    </row>
    <row r="21" spans="1:1">
      <c r="A21" s="3" t="s">
        <v>187</v>
      </c>
    </row>
    <row r="22" spans="1:1">
      <c r="A22" s="3" t="s">
        <v>70</v>
      </c>
    </row>
    <row r="23" spans="1:1">
      <c r="A23" s="3" t="s">
        <v>116</v>
      </c>
    </row>
    <row r="24" spans="1:1">
      <c r="A24" s="3" t="s">
        <v>133</v>
      </c>
    </row>
    <row r="25" spans="1:1">
      <c r="A25" s="3" t="s">
        <v>64</v>
      </c>
    </row>
    <row r="26" spans="1:1">
      <c r="A26" s="3" t="s">
        <v>126</v>
      </c>
    </row>
    <row r="27" spans="1:1">
      <c r="A27" s="3" t="s">
        <v>19</v>
      </c>
    </row>
    <row r="28" spans="1:1">
      <c r="A28" s="3" t="s">
        <v>22</v>
      </c>
    </row>
    <row r="29" spans="1:1">
      <c r="A29" s="3" t="s">
        <v>162</v>
      </c>
    </row>
    <row r="30" spans="1:1">
      <c r="A30" s="3" t="s">
        <v>40</v>
      </c>
    </row>
    <row r="31" spans="1:1">
      <c r="A31" s="3" t="s">
        <v>152</v>
      </c>
    </row>
    <row r="32" spans="1:1">
      <c r="A32" s="3" t="s">
        <v>60</v>
      </c>
    </row>
    <row r="33" spans="1:1">
      <c r="A33" s="3" t="s">
        <v>46</v>
      </c>
    </row>
    <row r="34" spans="1:1">
      <c r="A34" s="3" t="s">
        <v>57</v>
      </c>
    </row>
    <row r="35" spans="1:1">
      <c r="A35" s="3" t="s">
        <v>56</v>
      </c>
    </row>
    <row r="36" spans="1:1">
      <c r="A36" s="3" t="s">
        <v>26</v>
      </c>
    </row>
    <row r="37" spans="1:1">
      <c r="A37" s="3" t="s">
        <v>31</v>
      </c>
    </row>
    <row r="38" spans="1:1">
      <c r="A38" s="3" t="s">
        <v>78</v>
      </c>
    </row>
    <row r="39" spans="1:1">
      <c r="A39" s="3" t="s">
        <v>128</v>
      </c>
    </row>
    <row r="40" spans="1:1">
      <c r="A40" s="3" t="s">
        <v>174</v>
      </c>
    </row>
    <row r="41" spans="1:1">
      <c r="A41" s="3" t="s">
        <v>192</v>
      </c>
    </row>
    <row r="42" spans="1:1">
      <c r="A42" s="3" t="s">
        <v>170</v>
      </c>
    </row>
    <row r="43" spans="1:1">
      <c r="A43" s="3" t="s">
        <v>101</v>
      </c>
    </row>
    <row r="44" spans="1:1">
      <c r="A44" s="3" t="s">
        <v>16</v>
      </c>
    </row>
    <row r="45" spans="1:1">
      <c r="A45" s="3" t="s">
        <v>151</v>
      </c>
    </row>
    <row r="46" spans="1:1">
      <c r="A46" s="3" t="s">
        <v>138</v>
      </c>
    </row>
    <row r="47" spans="1:1">
      <c r="A47" s="3" t="s">
        <v>146</v>
      </c>
    </row>
    <row r="48" spans="1:1">
      <c r="A48" s="3" t="s">
        <v>24</v>
      </c>
    </row>
    <row r="49" spans="1:1">
      <c r="A49" s="3" t="s">
        <v>52</v>
      </c>
    </row>
    <row r="50" spans="1:1">
      <c r="A50" s="3" t="s">
        <v>115</v>
      </c>
    </row>
    <row r="51" spans="1:1">
      <c r="A51" s="3" t="s">
        <v>102</v>
      </c>
    </row>
    <row r="52" spans="1:1">
      <c r="A52" s="3" t="s">
        <v>166</v>
      </c>
    </row>
    <row r="53" spans="1:1">
      <c r="A53" s="3" t="s">
        <v>50</v>
      </c>
    </row>
    <row r="54" spans="1:1">
      <c r="A54" s="3" t="s">
        <v>8</v>
      </c>
    </row>
    <row r="55" spans="1:1">
      <c r="A55" s="3" t="s">
        <v>15</v>
      </c>
    </row>
    <row r="56" spans="1:1">
      <c r="A56" s="3" t="s">
        <v>155</v>
      </c>
    </row>
    <row r="57" spans="1:1">
      <c r="A57" s="3" t="s">
        <v>51</v>
      </c>
    </row>
    <row r="58" spans="1:1">
      <c r="A58" s="3" t="s">
        <v>143</v>
      </c>
    </row>
    <row r="59" spans="1:1">
      <c r="A59" s="3" t="s">
        <v>171</v>
      </c>
    </row>
    <row r="60" spans="1:1">
      <c r="A60" s="3" t="s">
        <v>111</v>
      </c>
    </row>
    <row r="61" spans="1:1">
      <c r="A61" s="3" t="s">
        <v>191</v>
      </c>
    </row>
    <row r="62" spans="1:1">
      <c r="A62" s="3" t="s">
        <v>20</v>
      </c>
    </row>
    <row r="63" spans="1:1">
      <c r="A63" s="3" t="s">
        <v>148</v>
      </c>
    </row>
    <row r="64" spans="1:1">
      <c r="A64" s="3" t="s">
        <v>198</v>
      </c>
    </row>
    <row r="65" spans="1:1">
      <c r="A65" s="3" t="s">
        <v>98</v>
      </c>
    </row>
    <row r="66" spans="1:1">
      <c r="A66" s="3" t="s">
        <v>137</v>
      </c>
    </row>
    <row r="67" spans="1:1">
      <c r="A67" s="3" t="s">
        <v>154</v>
      </c>
    </row>
    <row r="68" spans="1:1">
      <c r="A68" s="3" t="s">
        <v>193</v>
      </c>
    </row>
    <row r="69" spans="1:1">
      <c r="A69" s="3" t="s">
        <v>9</v>
      </c>
    </row>
    <row r="70" spans="1:1">
      <c r="A70" s="3" t="s">
        <v>109</v>
      </c>
    </row>
    <row r="71" spans="1:1">
      <c r="A71" s="3" t="s">
        <v>104</v>
      </c>
    </row>
    <row r="72" spans="1:1">
      <c r="A72" s="3" t="s">
        <v>150</v>
      </c>
    </row>
    <row r="73" spans="1:1">
      <c r="A73" s="3" t="s">
        <v>106</v>
      </c>
    </row>
    <row r="74" spans="1:1">
      <c r="A74" s="3" t="s">
        <v>13</v>
      </c>
    </row>
    <row r="75" spans="1:1">
      <c r="A75" s="3" t="s">
        <v>7</v>
      </c>
    </row>
    <row r="76" spans="1:1">
      <c r="A76" s="3" t="s">
        <v>47</v>
      </c>
    </row>
    <row r="77" spans="1:1">
      <c r="A77" s="3" t="s">
        <v>163</v>
      </c>
    </row>
    <row r="78" spans="1:1">
      <c r="A78" s="3" t="s">
        <v>127</v>
      </c>
    </row>
    <row r="79" spans="1:1">
      <c r="A79" s="3" t="s">
        <v>55</v>
      </c>
    </row>
    <row r="80" spans="1:1">
      <c r="A80" s="3" t="s">
        <v>11</v>
      </c>
    </row>
    <row r="81" spans="1:1">
      <c r="A81" s="3" t="s">
        <v>167</v>
      </c>
    </row>
    <row r="82" spans="1:1">
      <c r="A82" s="3" t="s">
        <v>68</v>
      </c>
    </row>
    <row r="83" spans="1:1">
      <c r="A83" s="3" t="s">
        <v>120</v>
      </c>
    </row>
    <row r="84" spans="1:1">
      <c r="A84" s="3" t="s">
        <v>136</v>
      </c>
    </row>
    <row r="85" spans="1:1">
      <c r="A85" s="3" t="s">
        <v>141</v>
      </c>
    </row>
    <row r="86" spans="1:1">
      <c r="A86" s="3" t="s">
        <v>184</v>
      </c>
    </row>
    <row r="87" spans="1:1">
      <c r="A87" s="3" t="s">
        <v>182</v>
      </c>
    </row>
    <row r="88" spans="1:1">
      <c r="A88" s="3" t="s">
        <v>131</v>
      </c>
    </row>
    <row r="89" spans="1:1">
      <c r="A89" s="3" t="s">
        <v>134</v>
      </c>
    </row>
    <row r="90" spans="1:1">
      <c r="A90" s="3" t="s">
        <v>149</v>
      </c>
    </row>
    <row r="91" spans="1:1">
      <c r="A91" s="3" t="s">
        <v>42</v>
      </c>
    </row>
    <row r="92" spans="1:1">
      <c r="A92" s="3" t="s">
        <v>153</v>
      </c>
    </row>
    <row r="93" spans="1:1">
      <c r="A93" s="3" t="s">
        <v>48</v>
      </c>
    </row>
    <row r="94" spans="1:1">
      <c r="A94" s="3" t="s">
        <v>132</v>
      </c>
    </row>
    <row r="95" spans="1:1">
      <c r="A95" s="3" t="s">
        <v>38</v>
      </c>
    </row>
    <row r="96" spans="1:1">
      <c r="A96" s="3" t="s">
        <v>30</v>
      </c>
    </row>
    <row r="97" spans="1:1">
      <c r="A97" s="3" t="s">
        <v>185</v>
      </c>
    </row>
    <row r="98" spans="1:1">
      <c r="A98" s="3" t="s">
        <v>79</v>
      </c>
    </row>
    <row r="99" spans="1:1">
      <c r="A99" s="3" t="s">
        <v>164</v>
      </c>
    </row>
    <row r="100" spans="1:1">
      <c r="A100" s="3" t="s">
        <v>75</v>
      </c>
    </row>
    <row r="101" spans="1:1">
      <c r="A101" s="3" t="s">
        <v>77</v>
      </c>
    </row>
    <row r="102" spans="1:1">
      <c r="A102" s="3" t="s">
        <v>147</v>
      </c>
    </row>
    <row r="103" spans="1:1">
      <c r="A103" s="3" t="s">
        <v>157</v>
      </c>
    </row>
    <row r="104" spans="1:1">
      <c r="A104" s="3" t="s">
        <v>80</v>
      </c>
    </row>
    <row r="105" spans="1:1">
      <c r="A105" s="3" t="s">
        <v>119</v>
      </c>
    </row>
    <row r="106" spans="1:1">
      <c r="A106" s="3" t="s">
        <v>90</v>
      </c>
    </row>
    <row r="107" spans="1:1">
      <c r="A107" s="3" t="s">
        <v>107</v>
      </c>
    </row>
    <row r="108" spans="1:1">
      <c r="A108" s="3" t="s">
        <v>29</v>
      </c>
    </row>
    <row r="109" spans="1:1">
      <c r="A109" s="3" t="s">
        <v>161</v>
      </c>
    </row>
    <row r="110" spans="1:1">
      <c r="A110" s="3" t="s">
        <v>175</v>
      </c>
    </row>
    <row r="111" spans="1:1">
      <c r="A111" s="3" t="s">
        <v>190</v>
      </c>
    </row>
    <row r="112" spans="1:1">
      <c r="A112" s="3" t="s">
        <v>176</v>
      </c>
    </row>
    <row r="113" spans="1:1">
      <c r="A113" s="3" t="s">
        <v>3</v>
      </c>
    </row>
    <row r="114" spans="1:1">
      <c r="A114" s="3" t="s">
        <v>169</v>
      </c>
    </row>
    <row r="115" spans="1:1">
      <c r="A115" s="3" t="s">
        <v>88</v>
      </c>
    </row>
    <row r="116" spans="1:1">
      <c r="A116" s="3" t="s">
        <v>66</v>
      </c>
    </row>
    <row r="117" spans="1:1">
      <c r="A117" s="3" t="s">
        <v>92</v>
      </c>
    </row>
    <row r="118" spans="1:1">
      <c r="A118" s="3" t="s">
        <v>123</v>
      </c>
    </row>
    <row r="119" spans="1:1">
      <c r="A119" s="3" t="s">
        <v>122</v>
      </c>
    </row>
    <row r="120" spans="1:1">
      <c r="A120" s="3" t="s">
        <v>82</v>
      </c>
    </row>
    <row r="121" spans="1:1">
      <c r="A121" s="3" t="s">
        <v>108</v>
      </c>
    </row>
    <row r="122" spans="1:1">
      <c r="A122" s="3" t="s">
        <v>135</v>
      </c>
    </row>
    <row r="123" spans="1:1">
      <c r="A123" s="3" t="s">
        <v>87</v>
      </c>
    </row>
    <row r="124" spans="1:1">
      <c r="A124" s="3" t="s">
        <v>94</v>
      </c>
    </row>
    <row r="125" spans="1:1">
      <c r="A125" s="3" t="s">
        <v>76</v>
      </c>
    </row>
    <row r="126" spans="1:1">
      <c r="A126" s="3" t="s">
        <v>114</v>
      </c>
    </row>
    <row r="127" spans="1:1">
      <c r="A127" s="3" t="s">
        <v>165</v>
      </c>
    </row>
    <row r="128" spans="1:1">
      <c r="A128" s="3" t="s">
        <v>49</v>
      </c>
    </row>
    <row r="129" spans="1:1">
      <c r="A129" s="3" t="s">
        <v>177</v>
      </c>
    </row>
    <row r="130" spans="1:1">
      <c r="A130" s="3" t="s">
        <v>129</v>
      </c>
    </row>
    <row r="131" spans="1:1">
      <c r="A131" s="3" t="s">
        <v>124</v>
      </c>
    </row>
    <row r="132" spans="1:1">
      <c r="A132" s="3" t="s">
        <v>197</v>
      </c>
    </row>
    <row r="133" spans="1:1">
      <c r="A133" s="3" t="s">
        <v>201</v>
      </c>
    </row>
    <row r="134" spans="1:1">
      <c r="A134" s="3" t="s">
        <v>194</v>
      </c>
    </row>
    <row r="135" spans="1:1">
      <c r="A135" s="3" t="s">
        <v>105</v>
      </c>
    </row>
    <row r="136" spans="1:1">
      <c r="A136" s="3" t="s">
        <v>39</v>
      </c>
    </row>
    <row r="137" spans="1:1">
      <c r="A137" s="3" t="s">
        <v>35</v>
      </c>
    </row>
    <row r="138" spans="1:1">
      <c r="A138" s="3" t="s">
        <v>43</v>
      </c>
    </row>
    <row r="139" spans="1:1">
      <c r="A139" s="3" t="s">
        <v>27</v>
      </c>
    </row>
    <row r="140" spans="1:1">
      <c r="A140" s="3" t="s">
        <v>113</v>
      </c>
    </row>
    <row r="141" spans="1:1">
      <c r="A141" s="3" t="s">
        <v>37</v>
      </c>
    </row>
    <row r="142" spans="1:1">
      <c r="A142" s="3" t="s">
        <v>156</v>
      </c>
    </row>
    <row r="143" spans="1:1">
      <c r="A143" s="3" t="s">
        <v>61</v>
      </c>
    </row>
    <row r="144" spans="1:1">
      <c r="A144" s="3" t="s">
        <v>5</v>
      </c>
    </row>
    <row r="145" spans="1:1">
      <c r="A145" s="3" t="s">
        <v>202</v>
      </c>
    </row>
    <row r="146" spans="1:1">
      <c r="A146" s="3" t="s">
        <v>97</v>
      </c>
    </row>
    <row r="147" spans="1:1">
      <c r="A147" s="3" t="s">
        <v>125</v>
      </c>
    </row>
    <row r="148" spans="1:1">
      <c r="A148" s="3" t="s">
        <v>91</v>
      </c>
    </row>
    <row r="149" spans="1:1">
      <c r="A149" s="3" t="s">
        <v>199</v>
      </c>
    </row>
    <row r="150" spans="1:1">
      <c r="A150" s="3" t="s">
        <v>121</v>
      </c>
    </row>
    <row r="151" spans="1:1">
      <c r="A151" s="3" t="s">
        <v>118</v>
      </c>
    </row>
    <row r="152" spans="1:1">
      <c r="A152" s="3" t="s">
        <v>178</v>
      </c>
    </row>
    <row r="153" spans="1:1">
      <c r="A153" s="3" t="s">
        <v>112</v>
      </c>
    </row>
    <row r="154" spans="1:1">
      <c r="A154" s="3" t="s">
        <v>159</v>
      </c>
    </row>
    <row r="155" spans="1:1">
      <c r="A155" s="3" t="s">
        <v>139</v>
      </c>
    </row>
    <row r="156" spans="1:1">
      <c r="A156" s="3" t="s">
        <v>72</v>
      </c>
    </row>
    <row r="157" spans="1:1">
      <c r="A157" s="3" t="s">
        <v>45</v>
      </c>
    </row>
    <row r="158" spans="1:1">
      <c r="A158" s="3" t="s">
        <v>168</v>
      </c>
    </row>
    <row r="159" spans="1:1">
      <c r="A159" s="3" t="s">
        <v>32</v>
      </c>
    </row>
    <row r="160" spans="1:1">
      <c r="A160" s="3" t="s">
        <v>196</v>
      </c>
    </row>
    <row r="161" spans="1:1">
      <c r="A161" s="3" t="s">
        <v>67</v>
      </c>
    </row>
    <row r="162" spans="1:1">
      <c r="A162" s="3" t="s">
        <v>23</v>
      </c>
    </row>
    <row r="163" spans="1:1">
      <c r="A163" s="3" t="s">
        <v>142</v>
      </c>
    </row>
    <row r="164" spans="1:1">
      <c r="A164" s="3" t="s">
        <v>145</v>
      </c>
    </row>
    <row r="165" spans="1:1">
      <c r="A165" s="3" t="s">
        <v>62</v>
      </c>
    </row>
    <row r="166" spans="1:1">
      <c r="A166" s="3" t="s">
        <v>96</v>
      </c>
    </row>
    <row r="167" spans="1:1">
      <c r="A167" s="3" t="s">
        <v>58</v>
      </c>
    </row>
    <row r="168" spans="1:1">
      <c r="A168" s="3" t="s">
        <v>172</v>
      </c>
    </row>
    <row r="169" spans="1:1">
      <c r="A169" s="3" t="s">
        <v>25</v>
      </c>
    </row>
    <row r="170" spans="1:1">
      <c r="A170" s="3" t="s">
        <v>173</v>
      </c>
    </row>
    <row r="171" spans="1:1">
      <c r="A171" s="3" t="s">
        <v>100</v>
      </c>
    </row>
    <row r="172" spans="1:1">
      <c r="A172" s="3" t="s">
        <v>86</v>
      </c>
    </row>
    <row r="173" spans="1:1">
      <c r="A173" s="3" t="s">
        <v>17</v>
      </c>
    </row>
    <row r="174" spans="1:1">
      <c r="A174" s="3" t="s">
        <v>160</v>
      </c>
    </row>
    <row r="175" spans="1:1">
      <c r="A175" s="3" t="s">
        <v>81</v>
      </c>
    </row>
    <row r="176" spans="1:1">
      <c r="A176" s="3" t="s">
        <v>179</v>
      </c>
    </row>
    <row r="177" spans="1:1">
      <c r="A177" s="3" t="s">
        <v>207</v>
      </c>
    </row>
    <row r="178" spans="1:1">
      <c r="A178" s="3" t="s">
        <v>144</v>
      </c>
    </row>
    <row r="179" spans="1:1">
      <c r="A179" s="3" t="s">
        <v>21</v>
      </c>
    </row>
    <row r="180" spans="1:1">
      <c r="A180" s="3" t="s">
        <v>130</v>
      </c>
    </row>
    <row r="181" spans="1:1">
      <c r="A181" s="3" t="s">
        <v>204</v>
      </c>
    </row>
    <row r="182" spans="1:1">
      <c r="A182" s="3" t="s">
        <v>189</v>
      </c>
    </row>
    <row r="183" spans="1:1">
      <c r="A183" s="3" t="s">
        <v>99</v>
      </c>
    </row>
    <row r="184" spans="1:1">
      <c r="A184" s="3" t="s">
        <v>89</v>
      </c>
    </row>
    <row r="185" spans="1:1">
      <c r="A185" s="3" t="s">
        <v>95</v>
      </c>
    </row>
    <row r="186" spans="1:1">
      <c r="A186" s="3" t="s">
        <v>181</v>
      </c>
    </row>
    <row r="187" spans="1:1">
      <c r="A187" s="3" t="s">
        <v>110</v>
      </c>
    </row>
    <row r="188" spans="1:1">
      <c r="A188" s="3" t="s">
        <v>12</v>
      </c>
    </row>
    <row r="189" spans="1:1">
      <c r="A189" s="3" t="s">
        <v>186</v>
      </c>
    </row>
    <row r="190" spans="1:1">
      <c r="A190" s="3" t="s">
        <v>41</v>
      </c>
    </row>
    <row r="191" spans="1:1">
      <c r="A191" s="3" t="s">
        <v>117</v>
      </c>
    </row>
    <row r="192" spans="1:1">
      <c r="A192" s="3" t="s">
        <v>195</v>
      </c>
    </row>
    <row r="193" spans="1:1">
      <c r="A193" s="3" t="s">
        <v>140</v>
      </c>
    </row>
    <row r="194" spans="1:1">
      <c r="A194" s="3" t="s">
        <v>183</v>
      </c>
    </row>
    <row r="195" spans="1:1">
      <c r="A195" s="3" t="s">
        <v>54</v>
      </c>
    </row>
    <row r="196" spans="1:1">
      <c r="A196" s="3" t="s">
        <v>84</v>
      </c>
    </row>
    <row r="197" spans="1:1">
      <c r="A197" s="3" t="s">
        <v>205</v>
      </c>
    </row>
    <row r="198" spans="1:1">
      <c r="A198" s="3" t="s">
        <v>200</v>
      </c>
    </row>
    <row r="199" spans="1:1">
      <c r="A199" s="3" t="s">
        <v>71</v>
      </c>
    </row>
    <row r="200" spans="1:1">
      <c r="A200" s="3" t="s">
        <v>206</v>
      </c>
    </row>
    <row r="201" spans="1:1">
      <c r="A201" s="3" t="s">
        <v>203</v>
      </c>
    </row>
    <row r="202" spans="1:1">
      <c r="A202" s="3" t="s">
        <v>158</v>
      </c>
    </row>
    <row r="203" spans="1:1">
      <c r="A203" s="3" t="s">
        <v>93</v>
      </c>
    </row>
    <row r="204" spans="1:1">
      <c r="A204" s="3" t="s">
        <v>209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B429-8BB2-446F-9A9D-4E56203FF7F9}">
  <dimension ref="A1:C543"/>
  <sheetViews>
    <sheetView zoomScale="88" workbookViewId="0">
      <selection activeCell="D2" sqref="D2"/>
    </sheetView>
  </sheetViews>
  <sheetFormatPr defaultRowHeight="15"/>
  <cols>
    <col min="1" max="1" width="9.85546875" bestFit="1" customWidth="1"/>
    <col min="2" max="2" width="19.7109375" bestFit="1" customWidth="1"/>
    <col min="3" max="3" width="16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t="s">
        <v>4</v>
      </c>
      <c r="C2" s="1">
        <v>46223.181250000001</v>
      </c>
    </row>
    <row r="3" spans="1:3" hidden="1">
      <c r="A3" t="s">
        <v>5</v>
      </c>
      <c r="B3" t="s">
        <v>6</v>
      </c>
      <c r="C3" s="1">
        <v>46223.158333333333</v>
      </c>
    </row>
    <row r="4" spans="1:3" hidden="1">
      <c r="A4" t="s">
        <v>7</v>
      </c>
      <c r="B4" t="s">
        <v>6</v>
      </c>
      <c r="C4" s="1">
        <v>46223.157638888886</v>
      </c>
    </row>
    <row r="5" spans="1:3" hidden="1">
      <c r="A5" t="s">
        <v>8</v>
      </c>
      <c r="B5" t="s">
        <v>4</v>
      </c>
      <c r="C5" s="1">
        <v>46223.162499999999</v>
      </c>
    </row>
    <row r="6" spans="1:3" hidden="1">
      <c r="A6" t="s">
        <v>9</v>
      </c>
      <c r="B6" t="s">
        <v>6</v>
      </c>
      <c r="C6" s="1">
        <v>46223.154861111114</v>
      </c>
    </row>
    <row r="7" spans="1:3" hidden="1">
      <c r="A7" t="s">
        <v>10</v>
      </c>
      <c r="B7" t="s">
        <v>4</v>
      </c>
      <c r="C7" s="1">
        <v>46223.161805555559</v>
      </c>
    </row>
    <row r="8" spans="1:3" hidden="1">
      <c r="A8" t="s">
        <v>11</v>
      </c>
      <c r="B8" t="s">
        <v>6</v>
      </c>
      <c r="C8" s="1">
        <v>46223.166666666664</v>
      </c>
    </row>
    <row r="9" spans="1:3" hidden="1">
      <c r="A9" t="s">
        <v>12</v>
      </c>
      <c r="B9" t="s">
        <v>6</v>
      </c>
      <c r="C9" s="1">
        <v>46223.147916666669</v>
      </c>
    </row>
    <row r="10" spans="1:3" hidden="1">
      <c r="A10" t="s">
        <v>13</v>
      </c>
      <c r="B10" t="s">
        <v>6</v>
      </c>
      <c r="C10" s="1">
        <v>46223.165277777778</v>
      </c>
    </row>
    <row r="11" spans="1:3" hidden="1">
      <c r="A11" t="s">
        <v>14</v>
      </c>
      <c r="B11" t="s">
        <v>4</v>
      </c>
      <c r="C11" s="1">
        <v>46223.172222222223</v>
      </c>
    </row>
    <row r="12" spans="1:3" hidden="1">
      <c r="A12" t="s">
        <v>15</v>
      </c>
      <c r="B12" t="s">
        <v>4</v>
      </c>
      <c r="C12" s="1">
        <v>46223.169444444444</v>
      </c>
    </row>
    <row r="13" spans="1:3" hidden="1">
      <c r="A13" t="s">
        <v>16</v>
      </c>
      <c r="B13" t="s">
        <v>6</v>
      </c>
      <c r="C13" s="1">
        <v>46223.161111111112</v>
      </c>
    </row>
    <row r="14" spans="1:3" hidden="1">
      <c r="A14" t="s">
        <v>17</v>
      </c>
      <c r="B14" t="s">
        <v>6</v>
      </c>
      <c r="C14" s="1">
        <v>46223.152777777781</v>
      </c>
    </row>
    <row r="15" spans="1:3" hidden="1">
      <c r="A15" t="s">
        <v>18</v>
      </c>
      <c r="B15" t="s">
        <v>6</v>
      </c>
      <c r="C15" s="1">
        <v>46223.156944444447</v>
      </c>
    </row>
    <row r="16" spans="1:3" hidden="1">
      <c r="A16" t="s">
        <v>19</v>
      </c>
      <c r="B16" t="s">
        <v>4</v>
      </c>
      <c r="C16" s="1">
        <v>46223.169444444444</v>
      </c>
    </row>
    <row r="17" spans="1:3" hidden="1">
      <c r="A17" t="s">
        <v>20</v>
      </c>
      <c r="B17" t="s">
        <v>4</v>
      </c>
      <c r="C17" s="1">
        <v>46223.158333333333</v>
      </c>
    </row>
    <row r="18" spans="1:3" hidden="1">
      <c r="A18" t="s">
        <v>21</v>
      </c>
      <c r="B18" t="s">
        <v>6</v>
      </c>
      <c r="C18" s="1">
        <v>46223.158333333333</v>
      </c>
    </row>
    <row r="19" spans="1:3" hidden="1">
      <c r="A19" t="s">
        <v>22</v>
      </c>
      <c r="B19" t="s">
        <v>6</v>
      </c>
      <c r="C19" s="1">
        <v>46223.165972222225</v>
      </c>
    </row>
    <row r="20" spans="1:3" hidden="1">
      <c r="A20" t="s">
        <v>23</v>
      </c>
      <c r="B20" t="s">
        <v>6</v>
      </c>
      <c r="C20" s="1">
        <v>46223.163888888892</v>
      </c>
    </row>
    <row r="21" spans="1:3" hidden="1">
      <c r="A21" t="s">
        <v>24</v>
      </c>
      <c r="B21" t="s">
        <v>4</v>
      </c>
      <c r="C21" s="1">
        <v>46223.179166666669</v>
      </c>
    </row>
    <row r="22" spans="1:3" hidden="1">
      <c r="A22" t="s">
        <v>25</v>
      </c>
      <c r="B22" t="s">
        <v>6</v>
      </c>
      <c r="C22" s="1">
        <v>46223.147916666669</v>
      </c>
    </row>
    <row r="23" spans="1:3" hidden="1">
      <c r="A23" t="s">
        <v>26</v>
      </c>
      <c r="B23" t="s">
        <v>4</v>
      </c>
      <c r="C23" s="1">
        <v>46223.175000000003</v>
      </c>
    </row>
    <row r="24" spans="1:3" hidden="1">
      <c r="A24" t="s">
        <v>27</v>
      </c>
      <c r="B24" t="s">
        <v>6</v>
      </c>
      <c r="C24" s="1">
        <v>46223.150694444441</v>
      </c>
    </row>
    <row r="25" spans="1:3" hidden="1">
      <c r="A25" t="s">
        <v>28</v>
      </c>
      <c r="B25" t="s">
        <v>6</v>
      </c>
      <c r="C25" s="1">
        <v>46223.148611111108</v>
      </c>
    </row>
    <row r="26" spans="1:3" hidden="1">
      <c r="A26" t="s">
        <v>19</v>
      </c>
      <c r="B26" t="s">
        <v>6</v>
      </c>
      <c r="C26" s="1">
        <v>46223.154166666667</v>
      </c>
    </row>
    <row r="27" spans="1:3" hidden="1">
      <c r="A27" t="s">
        <v>29</v>
      </c>
      <c r="B27" t="s">
        <v>6</v>
      </c>
      <c r="C27" s="1">
        <v>46223.163194444445</v>
      </c>
    </row>
    <row r="28" spans="1:3" hidden="1">
      <c r="A28" t="s">
        <v>30</v>
      </c>
      <c r="B28" t="s">
        <v>6</v>
      </c>
      <c r="C28" s="1">
        <v>46223.157638888886</v>
      </c>
    </row>
    <row r="29" spans="1:3" hidden="1">
      <c r="A29" t="s">
        <v>31</v>
      </c>
      <c r="B29" t="s">
        <v>6</v>
      </c>
      <c r="C29" s="1">
        <v>46223.162499999999</v>
      </c>
    </row>
    <row r="30" spans="1:3" hidden="1">
      <c r="A30" t="s">
        <v>32</v>
      </c>
      <c r="B30" t="s">
        <v>33</v>
      </c>
      <c r="C30" s="1">
        <v>46223.17083333333</v>
      </c>
    </row>
    <row r="31" spans="1:3" hidden="1">
      <c r="A31" t="s">
        <v>34</v>
      </c>
      <c r="B31" t="s">
        <v>33</v>
      </c>
      <c r="C31" s="1">
        <v>46223.17291666667</v>
      </c>
    </row>
    <row r="32" spans="1:3" hidden="1">
      <c r="A32" t="s">
        <v>35</v>
      </c>
      <c r="B32" t="s">
        <v>6</v>
      </c>
      <c r="C32" s="1">
        <v>46223.157638888886</v>
      </c>
    </row>
    <row r="33" spans="1:3" hidden="1">
      <c r="A33" t="s">
        <v>29</v>
      </c>
      <c r="B33" t="s">
        <v>36</v>
      </c>
      <c r="C33" s="1">
        <v>46223.199305555558</v>
      </c>
    </row>
    <row r="34" spans="1:3" hidden="1">
      <c r="A34" t="s">
        <v>37</v>
      </c>
      <c r="B34" t="s">
        <v>6</v>
      </c>
      <c r="C34" s="1">
        <v>46223.154861111114</v>
      </c>
    </row>
    <row r="35" spans="1:3" hidden="1">
      <c r="A35" t="s">
        <v>38</v>
      </c>
      <c r="B35" t="s">
        <v>4</v>
      </c>
      <c r="C35" s="1">
        <v>46223.166666666664</v>
      </c>
    </row>
    <row r="36" spans="1:3" hidden="1">
      <c r="A36" t="s">
        <v>39</v>
      </c>
      <c r="B36" t="s">
        <v>6</v>
      </c>
      <c r="C36" s="1">
        <v>46223.167361111111</v>
      </c>
    </row>
    <row r="37" spans="1:3" hidden="1">
      <c r="A37" t="s">
        <v>40</v>
      </c>
      <c r="B37" t="s">
        <v>33</v>
      </c>
      <c r="C37" s="1">
        <v>46223.178472222222</v>
      </c>
    </row>
    <row r="38" spans="1:3" hidden="1">
      <c r="A38" t="s">
        <v>41</v>
      </c>
      <c r="B38" t="s">
        <v>6</v>
      </c>
      <c r="C38" s="1">
        <v>46223.146527777775</v>
      </c>
    </row>
    <row r="39" spans="1:3" hidden="1">
      <c r="A39" t="s">
        <v>42</v>
      </c>
      <c r="B39" t="s">
        <v>6</v>
      </c>
      <c r="C39" s="1">
        <v>46223.147222222222</v>
      </c>
    </row>
    <row r="40" spans="1:3" hidden="1">
      <c r="A40" t="s">
        <v>43</v>
      </c>
      <c r="B40" t="s">
        <v>36</v>
      </c>
      <c r="C40" s="1">
        <v>46223.209027777775</v>
      </c>
    </row>
    <row r="41" spans="1:3" hidden="1">
      <c r="A41" t="s">
        <v>44</v>
      </c>
      <c r="B41" t="s">
        <v>4</v>
      </c>
      <c r="C41" s="1">
        <v>46223.178472222222</v>
      </c>
    </row>
    <row r="42" spans="1:3" hidden="1">
      <c r="A42" t="s">
        <v>45</v>
      </c>
      <c r="B42" t="s">
        <v>33</v>
      </c>
      <c r="C42" s="1">
        <v>46223.173611111109</v>
      </c>
    </row>
    <row r="43" spans="1:3" hidden="1">
      <c r="A43" t="s">
        <v>46</v>
      </c>
      <c r="B43" t="s">
        <v>33</v>
      </c>
      <c r="C43" s="1">
        <v>46223.191666666666</v>
      </c>
    </row>
    <row r="44" spans="1:3" hidden="1">
      <c r="A44" t="s">
        <v>47</v>
      </c>
      <c r="B44" t="s">
        <v>4</v>
      </c>
      <c r="C44" s="1">
        <v>46223.168055555558</v>
      </c>
    </row>
    <row r="45" spans="1:3" hidden="1">
      <c r="A45" t="s">
        <v>48</v>
      </c>
      <c r="B45" t="s">
        <v>4</v>
      </c>
      <c r="C45" s="1">
        <v>46223.182638888888</v>
      </c>
    </row>
    <row r="46" spans="1:3" hidden="1">
      <c r="A46" t="s">
        <v>49</v>
      </c>
      <c r="B46" t="s">
        <v>6</v>
      </c>
      <c r="C46" s="1">
        <v>46223.146527777775</v>
      </c>
    </row>
    <row r="47" spans="1:3" hidden="1">
      <c r="A47" t="s">
        <v>50</v>
      </c>
      <c r="B47" t="s">
        <v>6</v>
      </c>
      <c r="C47" s="1">
        <v>46223.159722222219</v>
      </c>
    </row>
    <row r="48" spans="1:3" hidden="1">
      <c r="A48" t="s">
        <v>5</v>
      </c>
      <c r="B48" t="s">
        <v>4</v>
      </c>
      <c r="C48" s="1">
        <v>46223.158333333333</v>
      </c>
    </row>
    <row r="49" spans="1:3" hidden="1">
      <c r="A49" t="s">
        <v>51</v>
      </c>
      <c r="B49" t="s">
        <v>4</v>
      </c>
      <c r="C49" s="1">
        <v>46223.165277777778</v>
      </c>
    </row>
    <row r="50" spans="1:3" hidden="1">
      <c r="A50" t="s">
        <v>52</v>
      </c>
      <c r="B50" t="s">
        <v>6</v>
      </c>
      <c r="C50" s="1">
        <v>46223.15902777778</v>
      </c>
    </row>
    <row r="51" spans="1:3" hidden="1">
      <c r="A51" t="s">
        <v>53</v>
      </c>
      <c r="B51" t="s">
        <v>4</v>
      </c>
      <c r="C51" s="1">
        <v>46223.167361111111</v>
      </c>
    </row>
    <row r="52" spans="1:3" hidden="1">
      <c r="A52" t="s">
        <v>11</v>
      </c>
      <c r="B52" t="s">
        <v>4</v>
      </c>
      <c r="C52" s="1">
        <v>46223.179861111108</v>
      </c>
    </row>
    <row r="53" spans="1:3" hidden="1">
      <c r="A53" t="s">
        <v>54</v>
      </c>
      <c r="B53" t="s">
        <v>6</v>
      </c>
      <c r="C53" s="1">
        <v>46223.168749999997</v>
      </c>
    </row>
    <row r="54" spans="1:3" hidden="1">
      <c r="A54" t="s">
        <v>55</v>
      </c>
      <c r="B54" t="s">
        <v>6</v>
      </c>
      <c r="C54" s="1">
        <v>46223.163888888892</v>
      </c>
    </row>
    <row r="55" spans="1:3" hidden="1">
      <c r="A55" t="s">
        <v>56</v>
      </c>
      <c r="B55" t="s">
        <v>6</v>
      </c>
      <c r="C55" s="1">
        <v>46223.151388888888</v>
      </c>
    </row>
    <row r="56" spans="1:3" hidden="1">
      <c r="A56" t="s">
        <v>57</v>
      </c>
      <c r="B56" t="s">
        <v>4</v>
      </c>
      <c r="C56" s="1">
        <v>46223.163194444445</v>
      </c>
    </row>
    <row r="57" spans="1:3" hidden="1">
      <c r="A57" t="s">
        <v>58</v>
      </c>
      <c r="B57" t="s">
        <v>33</v>
      </c>
      <c r="C57" s="1">
        <v>46223.178472222222</v>
      </c>
    </row>
    <row r="58" spans="1:3" hidden="1">
      <c r="A58" t="s">
        <v>59</v>
      </c>
      <c r="B58" t="s">
        <v>4</v>
      </c>
      <c r="C58" s="1">
        <v>46223.166666666664</v>
      </c>
    </row>
    <row r="59" spans="1:3" hidden="1">
      <c r="A59" t="s">
        <v>46</v>
      </c>
      <c r="B59" t="s">
        <v>4</v>
      </c>
      <c r="C59" s="1">
        <v>46223.179861111108</v>
      </c>
    </row>
    <row r="60" spans="1:3" hidden="1">
      <c r="A60" t="s">
        <v>60</v>
      </c>
      <c r="B60" t="s">
        <v>4</v>
      </c>
      <c r="C60" s="1">
        <v>46223.176388888889</v>
      </c>
    </row>
    <row r="61" spans="1:3" hidden="1">
      <c r="A61" t="s">
        <v>58</v>
      </c>
      <c r="B61" t="s">
        <v>6</v>
      </c>
      <c r="C61" s="1">
        <v>46223.15347222222</v>
      </c>
    </row>
    <row r="62" spans="1:3" hidden="1">
      <c r="A62" t="s">
        <v>61</v>
      </c>
      <c r="B62" t="s">
        <v>4</v>
      </c>
      <c r="C62" s="1">
        <v>46223.158333333333</v>
      </c>
    </row>
    <row r="63" spans="1:3" hidden="1">
      <c r="A63" t="s">
        <v>56</v>
      </c>
      <c r="B63" t="s">
        <v>4</v>
      </c>
      <c r="C63" s="1">
        <v>46223.181250000001</v>
      </c>
    </row>
    <row r="64" spans="1:3" hidden="1">
      <c r="A64" t="s">
        <v>62</v>
      </c>
      <c r="B64" t="s">
        <v>6</v>
      </c>
      <c r="C64" s="1">
        <v>46223.169444444444</v>
      </c>
    </row>
    <row r="65" spans="1:3" hidden="1">
      <c r="A65" t="s">
        <v>63</v>
      </c>
      <c r="B65" t="s">
        <v>33</v>
      </c>
      <c r="C65" s="1">
        <v>46223.181944444441</v>
      </c>
    </row>
    <row r="66" spans="1:3" hidden="1">
      <c r="A66" t="s">
        <v>64</v>
      </c>
      <c r="B66" t="s">
        <v>6</v>
      </c>
      <c r="C66" s="1">
        <v>46223.157638888886</v>
      </c>
    </row>
    <row r="67" spans="1:3" hidden="1">
      <c r="A67" t="s">
        <v>65</v>
      </c>
      <c r="B67" t="s">
        <v>33</v>
      </c>
      <c r="C67" s="1">
        <v>46223.188888888886</v>
      </c>
    </row>
    <row r="68" spans="1:3" hidden="1">
      <c r="A68" t="s">
        <v>66</v>
      </c>
      <c r="B68" t="s">
        <v>36</v>
      </c>
      <c r="C68" s="1">
        <v>46223.214583333334</v>
      </c>
    </row>
    <row r="69" spans="1:3" hidden="1">
      <c r="A69" t="s">
        <v>8</v>
      </c>
      <c r="B69" t="s">
        <v>6</v>
      </c>
      <c r="C69" s="1">
        <v>46223.169444444444</v>
      </c>
    </row>
    <row r="70" spans="1:3" hidden="1">
      <c r="A70" t="s">
        <v>46</v>
      </c>
      <c r="B70" t="s">
        <v>6</v>
      </c>
      <c r="C70" s="1">
        <v>46223.146527777775</v>
      </c>
    </row>
    <row r="71" spans="1:3" hidden="1">
      <c r="A71" t="s">
        <v>67</v>
      </c>
      <c r="B71" t="s">
        <v>6</v>
      </c>
      <c r="C71" s="1">
        <v>46223.167361111111</v>
      </c>
    </row>
    <row r="72" spans="1:3">
      <c r="A72" t="s">
        <v>115</v>
      </c>
      <c r="B72" t="s">
        <v>69</v>
      </c>
      <c r="C72" s="1">
        <v>46223.182638888888</v>
      </c>
    </row>
    <row r="73" spans="1:3" hidden="1">
      <c r="A73" t="s">
        <v>70</v>
      </c>
      <c r="B73" t="s">
        <v>4</v>
      </c>
      <c r="C73" s="1">
        <v>46223.177083333336</v>
      </c>
    </row>
    <row r="74" spans="1:3" hidden="1">
      <c r="A74" t="s">
        <v>71</v>
      </c>
      <c r="B74" t="s">
        <v>6</v>
      </c>
      <c r="C74" s="1">
        <v>46223.152777777781</v>
      </c>
    </row>
    <row r="75" spans="1:3" hidden="1">
      <c r="A75" t="s">
        <v>72</v>
      </c>
      <c r="B75" t="s">
        <v>6</v>
      </c>
      <c r="C75" s="1">
        <v>46223.149305555555</v>
      </c>
    </row>
    <row r="76" spans="1:3" hidden="1">
      <c r="A76" t="s">
        <v>73</v>
      </c>
      <c r="B76" t="s">
        <v>6</v>
      </c>
      <c r="C76" s="1">
        <v>46223.165972222225</v>
      </c>
    </row>
    <row r="77" spans="1:3" hidden="1">
      <c r="A77" t="s">
        <v>74</v>
      </c>
      <c r="B77" t="s">
        <v>33</v>
      </c>
      <c r="C77" s="1">
        <v>46223.177083333336</v>
      </c>
    </row>
    <row r="78" spans="1:3" hidden="1">
      <c r="A78" t="s">
        <v>40</v>
      </c>
      <c r="B78" t="s">
        <v>6</v>
      </c>
      <c r="C78" s="1">
        <v>46223.152083333334</v>
      </c>
    </row>
    <row r="79" spans="1:3" hidden="1">
      <c r="A79" t="s">
        <v>19</v>
      </c>
      <c r="B79" t="s">
        <v>33</v>
      </c>
      <c r="C79" s="1">
        <v>46223.17083333333</v>
      </c>
    </row>
    <row r="80" spans="1:3">
      <c r="A80" t="s">
        <v>102</v>
      </c>
      <c r="B80" t="s">
        <v>69</v>
      </c>
      <c r="C80" s="1">
        <v>46223.186111111114</v>
      </c>
    </row>
    <row r="81" spans="1:3" hidden="1">
      <c r="A81" t="s">
        <v>51</v>
      </c>
      <c r="B81" t="s">
        <v>6</v>
      </c>
      <c r="C81" s="1">
        <v>46223.148611111108</v>
      </c>
    </row>
    <row r="82" spans="1:3" hidden="1">
      <c r="A82" t="s">
        <v>44</v>
      </c>
      <c r="B82" t="s">
        <v>33</v>
      </c>
      <c r="C82" s="1">
        <v>46223.175694444442</v>
      </c>
    </row>
    <row r="83" spans="1:3" hidden="1">
      <c r="A83" t="s">
        <v>76</v>
      </c>
      <c r="B83" t="s">
        <v>36</v>
      </c>
      <c r="C83" s="1">
        <v>46223.203472222223</v>
      </c>
    </row>
    <row r="84" spans="1:3" hidden="1">
      <c r="A84" t="s">
        <v>77</v>
      </c>
      <c r="B84" t="s">
        <v>4</v>
      </c>
      <c r="C84" s="1">
        <v>46223.179166666669</v>
      </c>
    </row>
    <row r="85" spans="1:3" hidden="1">
      <c r="A85" t="s">
        <v>78</v>
      </c>
      <c r="B85" t="s">
        <v>6</v>
      </c>
      <c r="C85" s="1">
        <v>46223.15</v>
      </c>
    </row>
    <row r="86" spans="1:3" hidden="1">
      <c r="A86" t="s">
        <v>7</v>
      </c>
      <c r="B86" t="s">
        <v>4</v>
      </c>
      <c r="C86" s="1">
        <v>46223.157638888886</v>
      </c>
    </row>
    <row r="87" spans="1:3" hidden="1">
      <c r="A87" t="s">
        <v>79</v>
      </c>
      <c r="B87" t="s">
        <v>4</v>
      </c>
      <c r="C87" s="1">
        <v>46223.162499999999</v>
      </c>
    </row>
    <row r="88" spans="1:3" hidden="1">
      <c r="A88" t="s">
        <v>80</v>
      </c>
      <c r="B88" t="s">
        <v>6</v>
      </c>
      <c r="C88" s="1">
        <v>46223.147916666669</v>
      </c>
    </row>
    <row r="89" spans="1:3" hidden="1">
      <c r="A89" t="s">
        <v>81</v>
      </c>
      <c r="B89" t="s">
        <v>33</v>
      </c>
      <c r="C89" s="1">
        <v>46223.171527777777</v>
      </c>
    </row>
    <row r="90" spans="1:3" hidden="1">
      <c r="A90" t="s">
        <v>44</v>
      </c>
      <c r="B90" t="s">
        <v>6</v>
      </c>
      <c r="C90" s="1">
        <v>46223.161111111112</v>
      </c>
    </row>
    <row r="91" spans="1:3" hidden="1">
      <c r="A91" t="s">
        <v>82</v>
      </c>
      <c r="B91" t="s">
        <v>4</v>
      </c>
      <c r="C91" s="1">
        <v>46223.165972222225</v>
      </c>
    </row>
    <row r="92" spans="1:3" hidden="1">
      <c r="A92" t="s">
        <v>83</v>
      </c>
      <c r="B92" t="s">
        <v>4</v>
      </c>
      <c r="C92" s="1">
        <v>46223.171527777777</v>
      </c>
    </row>
    <row r="93" spans="1:3" hidden="1">
      <c r="A93" t="s">
        <v>84</v>
      </c>
      <c r="B93" t="s">
        <v>33</v>
      </c>
      <c r="C93" s="1">
        <v>46223.171527777777</v>
      </c>
    </row>
    <row r="94" spans="1:3" hidden="1">
      <c r="A94" t="s">
        <v>66</v>
      </c>
      <c r="B94" t="s">
        <v>4</v>
      </c>
      <c r="C94" s="1">
        <v>46223.158333333333</v>
      </c>
    </row>
    <row r="95" spans="1:3" hidden="1">
      <c r="A95" t="s">
        <v>85</v>
      </c>
      <c r="B95" t="s">
        <v>6</v>
      </c>
      <c r="C95" s="1">
        <v>46223.166666666664</v>
      </c>
    </row>
    <row r="96" spans="1:3" hidden="1">
      <c r="A96" t="s">
        <v>86</v>
      </c>
      <c r="B96" t="s">
        <v>33</v>
      </c>
      <c r="C96" s="1">
        <v>46223.193749999999</v>
      </c>
    </row>
    <row r="97" spans="1:3" hidden="1">
      <c r="A97" t="s">
        <v>18</v>
      </c>
      <c r="B97" t="s">
        <v>4</v>
      </c>
      <c r="C97" s="1">
        <v>46223.175694444442</v>
      </c>
    </row>
    <row r="98" spans="1:3" hidden="1">
      <c r="A98" t="s">
        <v>61</v>
      </c>
      <c r="B98" t="s">
        <v>36</v>
      </c>
      <c r="C98" s="1">
        <v>46223.211805555555</v>
      </c>
    </row>
    <row r="99" spans="1:3" hidden="1">
      <c r="A99" t="s">
        <v>87</v>
      </c>
      <c r="B99" t="s">
        <v>4</v>
      </c>
      <c r="C99" s="1">
        <v>46223.164583333331</v>
      </c>
    </row>
    <row r="100" spans="1:3" hidden="1">
      <c r="A100" t="s">
        <v>88</v>
      </c>
      <c r="B100" t="s">
        <v>36</v>
      </c>
      <c r="C100" s="1">
        <v>46223.197916666664</v>
      </c>
    </row>
    <row r="101" spans="1:3" hidden="1">
      <c r="A101" t="s">
        <v>89</v>
      </c>
      <c r="B101" t="s">
        <v>6</v>
      </c>
      <c r="C101" s="1">
        <v>46223.170138888891</v>
      </c>
    </row>
    <row r="102" spans="1:3" hidden="1">
      <c r="A102" t="s">
        <v>90</v>
      </c>
      <c r="B102" t="s">
        <v>4</v>
      </c>
      <c r="C102" s="1">
        <v>46223.17083333333</v>
      </c>
    </row>
    <row r="103" spans="1:3" hidden="1">
      <c r="A103" t="s">
        <v>91</v>
      </c>
      <c r="B103" t="s">
        <v>4</v>
      </c>
      <c r="C103" s="1">
        <v>46223.161805555559</v>
      </c>
    </row>
    <row r="104" spans="1:3" hidden="1">
      <c r="A104" t="s">
        <v>29</v>
      </c>
      <c r="B104" t="s">
        <v>4</v>
      </c>
      <c r="C104" s="1">
        <v>46223.17291666667</v>
      </c>
    </row>
    <row r="105" spans="1:3" hidden="1">
      <c r="A105" t="s">
        <v>26</v>
      </c>
      <c r="B105" t="s">
        <v>33</v>
      </c>
      <c r="C105" s="1">
        <v>46223.171527777777</v>
      </c>
    </row>
    <row r="106" spans="1:3" hidden="1">
      <c r="A106" t="s">
        <v>64</v>
      </c>
      <c r="B106" t="s">
        <v>33</v>
      </c>
      <c r="C106" s="1">
        <v>46223.189583333333</v>
      </c>
    </row>
    <row r="107" spans="1:3" hidden="1">
      <c r="A107" t="s">
        <v>92</v>
      </c>
      <c r="B107" t="s">
        <v>4</v>
      </c>
      <c r="C107" s="1">
        <v>46223.161111111112</v>
      </c>
    </row>
    <row r="108" spans="1:3" hidden="1">
      <c r="A108" t="s">
        <v>93</v>
      </c>
      <c r="B108" t="s">
        <v>33</v>
      </c>
      <c r="C108" s="1">
        <v>46223.181944444441</v>
      </c>
    </row>
    <row r="109" spans="1:3" hidden="1">
      <c r="A109" t="s">
        <v>94</v>
      </c>
      <c r="B109" t="s">
        <v>4</v>
      </c>
      <c r="C109" s="1">
        <v>46223.167361111111</v>
      </c>
    </row>
    <row r="110" spans="1:3" hidden="1">
      <c r="A110" t="s">
        <v>95</v>
      </c>
      <c r="B110" t="s">
        <v>6</v>
      </c>
      <c r="C110" s="1">
        <v>46223.151388888888</v>
      </c>
    </row>
    <row r="111" spans="1:3" hidden="1">
      <c r="A111" t="s">
        <v>96</v>
      </c>
      <c r="B111" t="s">
        <v>6</v>
      </c>
      <c r="C111" s="1">
        <v>46223.150694444441</v>
      </c>
    </row>
    <row r="112" spans="1:3" hidden="1">
      <c r="A112" t="s">
        <v>97</v>
      </c>
      <c r="B112" t="s">
        <v>6</v>
      </c>
      <c r="C112" s="1">
        <v>46223.15625</v>
      </c>
    </row>
    <row r="113" spans="1:3">
      <c r="A113" t="s">
        <v>166</v>
      </c>
      <c r="B113" t="s">
        <v>69</v>
      </c>
      <c r="C113" s="1">
        <v>46223.20416666667</v>
      </c>
    </row>
    <row r="114" spans="1:3" hidden="1">
      <c r="A114" t="s">
        <v>99</v>
      </c>
      <c r="B114" t="s">
        <v>6</v>
      </c>
      <c r="C114" s="1">
        <v>46223.169444444444</v>
      </c>
    </row>
    <row r="115" spans="1:3">
      <c r="A115" t="s">
        <v>50</v>
      </c>
      <c r="B115" t="s">
        <v>69</v>
      </c>
      <c r="C115" s="1">
        <v>46223.197916666664</v>
      </c>
    </row>
    <row r="116" spans="1:3" hidden="1">
      <c r="A116" t="s">
        <v>100</v>
      </c>
      <c r="B116" t="s">
        <v>6</v>
      </c>
      <c r="C116" s="1">
        <v>46223.147916666669</v>
      </c>
    </row>
    <row r="117" spans="1:3" hidden="1">
      <c r="A117" t="s">
        <v>101</v>
      </c>
      <c r="B117" t="s">
        <v>4</v>
      </c>
      <c r="C117" s="1">
        <v>46223.172222222223</v>
      </c>
    </row>
    <row r="118" spans="1:3">
      <c r="A118" t="s">
        <v>8</v>
      </c>
      <c r="B118" t="s">
        <v>69</v>
      </c>
      <c r="C118" s="1">
        <v>46223.180555555555</v>
      </c>
    </row>
    <row r="119" spans="1:3" hidden="1">
      <c r="A119" t="s">
        <v>103</v>
      </c>
      <c r="B119" t="s">
        <v>6</v>
      </c>
      <c r="C119" s="1">
        <v>46223.165277777778</v>
      </c>
    </row>
    <row r="120" spans="1:3" hidden="1">
      <c r="A120" t="s">
        <v>102</v>
      </c>
      <c r="B120" t="s">
        <v>6</v>
      </c>
      <c r="C120" s="1">
        <v>46223.146527777775</v>
      </c>
    </row>
    <row r="121" spans="1:3" hidden="1">
      <c r="A121" t="s">
        <v>104</v>
      </c>
      <c r="B121" t="s">
        <v>4</v>
      </c>
      <c r="C121" s="1">
        <v>46223.163888888892</v>
      </c>
    </row>
    <row r="122" spans="1:3" hidden="1">
      <c r="A122" t="s">
        <v>105</v>
      </c>
      <c r="B122" t="s">
        <v>4</v>
      </c>
      <c r="C122" s="1">
        <v>46223.179166666669</v>
      </c>
    </row>
    <row r="123" spans="1:3" hidden="1">
      <c r="A123" t="s">
        <v>106</v>
      </c>
      <c r="B123" t="s">
        <v>6</v>
      </c>
      <c r="C123" s="1">
        <v>46223.152083333334</v>
      </c>
    </row>
    <row r="124" spans="1:3" hidden="1">
      <c r="A124" t="s">
        <v>107</v>
      </c>
      <c r="B124" t="s">
        <v>4</v>
      </c>
      <c r="C124" s="1">
        <v>46223.161805555559</v>
      </c>
    </row>
    <row r="125" spans="1:3" hidden="1">
      <c r="A125" t="s">
        <v>108</v>
      </c>
      <c r="B125" t="s">
        <v>36</v>
      </c>
      <c r="C125" s="1">
        <v>46223.194444444445</v>
      </c>
    </row>
    <row r="126" spans="1:3" hidden="1">
      <c r="A126" t="s">
        <v>3</v>
      </c>
      <c r="B126" t="s">
        <v>36</v>
      </c>
      <c r="C126" s="1">
        <v>46223.203472222223</v>
      </c>
    </row>
    <row r="127" spans="1:3">
      <c r="A127" t="s">
        <v>15</v>
      </c>
      <c r="B127" t="s">
        <v>69</v>
      </c>
      <c r="C127" s="1">
        <v>46223.181250000001</v>
      </c>
    </row>
    <row r="128" spans="1:3" hidden="1">
      <c r="A128" t="s">
        <v>84</v>
      </c>
      <c r="B128" t="s">
        <v>6</v>
      </c>
      <c r="C128" s="1">
        <v>46223.168749999997</v>
      </c>
    </row>
    <row r="129" spans="1:3">
      <c r="A129" t="s">
        <v>155</v>
      </c>
      <c r="B129" t="s">
        <v>69</v>
      </c>
      <c r="C129" s="1">
        <v>46223.186805555553</v>
      </c>
    </row>
    <row r="130" spans="1:3" hidden="1">
      <c r="A130" t="s">
        <v>110</v>
      </c>
      <c r="B130" t="s">
        <v>6</v>
      </c>
      <c r="C130" s="1">
        <v>46223.17291666667</v>
      </c>
    </row>
    <row r="131" spans="1:3" hidden="1">
      <c r="A131" t="s">
        <v>111</v>
      </c>
      <c r="B131" t="s">
        <v>6</v>
      </c>
      <c r="C131" s="1">
        <v>46223.169444444444</v>
      </c>
    </row>
    <row r="132" spans="1:3" hidden="1">
      <c r="A132" t="s">
        <v>112</v>
      </c>
      <c r="B132" t="s">
        <v>4</v>
      </c>
      <c r="C132" s="1">
        <v>46223.179861111108</v>
      </c>
    </row>
    <row r="133" spans="1:3" hidden="1">
      <c r="A133" t="s">
        <v>113</v>
      </c>
      <c r="B133" t="s">
        <v>4</v>
      </c>
      <c r="C133" s="1">
        <v>46223.180555555555</v>
      </c>
    </row>
    <row r="134" spans="1:3" hidden="1">
      <c r="A134" t="s">
        <v>114</v>
      </c>
      <c r="B134" t="s">
        <v>4</v>
      </c>
      <c r="C134" s="1">
        <v>46223.170138888891</v>
      </c>
    </row>
    <row r="135" spans="1:3">
      <c r="A135" t="s">
        <v>51</v>
      </c>
      <c r="B135" t="s">
        <v>69</v>
      </c>
      <c r="C135" s="1">
        <v>46223.197916666664</v>
      </c>
    </row>
    <row r="136" spans="1:3" hidden="1">
      <c r="A136" t="s">
        <v>101</v>
      </c>
      <c r="B136" t="s">
        <v>33</v>
      </c>
      <c r="C136" s="1">
        <v>46223.184027777781</v>
      </c>
    </row>
    <row r="137" spans="1:3" hidden="1">
      <c r="A137" t="s">
        <v>21</v>
      </c>
      <c r="B137" t="s">
        <v>33</v>
      </c>
      <c r="C137" s="1">
        <v>46223.17291666667</v>
      </c>
    </row>
    <row r="138" spans="1:3" hidden="1">
      <c r="A138" t="s">
        <v>116</v>
      </c>
      <c r="B138" t="s">
        <v>4</v>
      </c>
      <c r="C138" s="1">
        <v>46223.174305555556</v>
      </c>
    </row>
    <row r="139" spans="1:3" hidden="1">
      <c r="A139" t="s">
        <v>117</v>
      </c>
      <c r="B139" t="s">
        <v>33</v>
      </c>
      <c r="C139" s="1">
        <v>46223.179861111108</v>
      </c>
    </row>
    <row r="140" spans="1:3" hidden="1">
      <c r="A140" t="s">
        <v>34</v>
      </c>
      <c r="B140" t="s">
        <v>4</v>
      </c>
      <c r="C140" s="1">
        <v>46223.161111111112</v>
      </c>
    </row>
    <row r="141" spans="1:3" hidden="1">
      <c r="A141" t="s">
        <v>118</v>
      </c>
      <c r="B141" t="s">
        <v>6</v>
      </c>
      <c r="C141" s="1">
        <v>46223.17083333333</v>
      </c>
    </row>
    <row r="142" spans="1:3" hidden="1">
      <c r="A142" t="s">
        <v>101</v>
      </c>
      <c r="B142" t="s">
        <v>6</v>
      </c>
      <c r="C142" s="1">
        <v>46223.170138888891</v>
      </c>
    </row>
    <row r="143" spans="1:3" hidden="1">
      <c r="A143" t="s">
        <v>88</v>
      </c>
      <c r="B143" t="s">
        <v>4</v>
      </c>
      <c r="C143" s="1">
        <v>46223.168055555558</v>
      </c>
    </row>
    <row r="144" spans="1:3" hidden="1">
      <c r="A144" t="s">
        <v>119</v>
      </c>
      <c r="B144" t="s">
        <v>4</v>
      </c>
      <c r="C144" s="1">
        <v>46223.158333333333</v>
      </c>
    </row>
    <row r="145" spans="1:3">
      <c r="A145" t="s">
        <v>143</v>
      </c>
      <c r="B145" t="s">
        <v>69</v>
      </c>
      <c r="C145" s="1">
        <v>46223.183333333334</v>
      </c>
    </row>
    <row r="146" spans="1:3" hidden="1">
      <c r="A146" t="s">
        <v>121</v>
      </c>
      <c r="B146" t="s">
        <v>4</v>
      </c>
      <c r="C146" s="1">
        <v>46223.17083333333</v>
      </c>
    </row>
    <row r="147" spans="1:3" hidden="1">
      <c r="A147" t="s">
        <v>122</v>
      </c>
      <c r="B147" t="s">
        <v>36</v>
      </c>
      <c r="C147" s="1">
        <v>46223.209027777775</v>
      </c>
    </row>
    <row r="148" spans="1:3" hidden="1">
      <c r="A148" t="s">
        <v>39</v>
      </c>
      <c r="B148" t="s">
        <v>4</v>
      </c>
      <c r="C148" s="1">
        <v>46223.168055555558</v>
      </c>
    </row>
    <row r="149" spans="1:3" hidden="1">
      <c r="A149" t="s">
        <v>123</v>
      </c>
      <c r="B149" t="s">
        <v>36</v>
      </c>
      <c r="C149" s="1">
        <v>46223.194444444445</v>
      </c>
    </row>
    <row r="150" spans="1:3" hidden="1">
      <c r="A150" t="s">
        <v>114</v>
      </c>
      <c r="B150" t="s">
        <v>36</v>
      </c>
      <c r="C150" s="1">
        <v>46223.189583333333</v>
      </c>
    </row>
    <row r="151" spans="1:3" hidden="1">
      <c r="A151" t="s">
        <v>52</v>
      </c>
      <c r="B151" t="s">
        <v>33</v>
      </c>
      <c r="C151" s="1">
        <v>46223.172222222223</v>
      </c>
    </row>
    <row r="152" spans="1:3" hidden="1">
      <c r="A152" t="s">
        <v>79</v>
      </c>
      <c r="B152" t="s">
        <v>6</v>
      </c>
      <c r="C152" s="1">
        <v>46223.154861111114</v>
      </c>
    </row>
    <row r="153" spans="1:3" hidden="1">
      <c r="A153" t="s">
        <v>48</v>
      </c>
      <c r="B153" t="s">
        <v>6</v>
      </c>
      <c r="C153" s="1">
        <v>46223.163194444445</v>
      </c>
    </row>
    <row r="154" spans="1:3" hidden="1">
      <c r="A154" t="s">
        <v>124</v>
      </c>
      <c r="B154" t="s">
        <v>4</v>
      </c>
      <c r="C154" s="1">
        <v>46223.175694444442</v>
      </c>
    </row>
    <row r="155" spans="1:3" hidden="1">
      <c r="A155" t="s">
        <v>125</v>
      </c>
      <c r="B155" t="s">
        <v>4</v>
      </c>
      <c r="C155" s="1">
        <v>46223.166666666664</v>
      </c>
    </row>
    <row r="156" spans="1:3" hidden="1">
      <c r="A156" t="s">
        <v>82</v>
      </c>
      <c r="B156" t="s">
        <v>6</v>
      </c>
      <c r="C156" s="1">
        <v>46223.151388888888</v>
      </c>
    </row>
    <row r="157" spans="1:3" hidden="1">
      <c r="A157" t="s">
        <v>16</v>
      </c>
      <c r="B157" t="s">
        <v>4</v>
      </c>
      <c r="C157" s="1">
        <v>46223.156944444447</v>
      </c>
    </row>
    <row r="158" spans="1:3" hidden="1">
      <c r="A158" t="s">
        <v>126</v>
      </c>
      <c r="B158" t="s">
        <v>4</v>
      </c>
      <c r="C158" s="1">
        <v>46223.170138888891</v>
      </c>
    </row>
    <row r="159" spans="1:3" hidden="1">
      <c r="A159" t="s">
        <v>127</v>
      </c>
      <c r="B159" t="s">
        <v>4</v>
      </c>
      <c r="C159" s="1">
        <v>46223.180555555555</v>
      </c>
    </row>
    <row r="160" spans="1:3" hidden="1">
      <c r="A160" t="s">
        <v>128</v>
      </c>
      <c r="B160" t="s">
        <v>4</v>
      </c>
      <c r="C160" s="1">
        <v>46223.171527777777</v>
      </c>
    </row>
    <row r="161" spans="1:3" hidden="1">
      <c r="A161" t="s">
        <v>77</v>
      </c>
      <c r="B161" t="s">
        <v>6</v>
      </c>
      <c r="C161" s="1">
        <v>46223.168749999997</v>
      </c>
    </row>
    <row r="162" spans="1:3" hidden="1">
      <c r="A162" t="s">
        <v>129</v>
      </c>
      <c r="B162" t="s">
        <v>36</v>
      </c>
      <c r="C162" s="1">
        <v>46223.213194444441</v>
      </c>
    </row>
    <row r="163" spans="1:3" hidden="1">
      <c r="A163" t="s">
        <v>87</v>
      </c>
      <c r="B163" t="s">
        <v>36</v>
      </c>
      <c r="C163" s="1">
        <v>46223.191666666666</v>
      </c>
    </row>
    <row r="164" spans="1:3" hidden="1">
      <c r="A164" t="s">
        <v>130</v>
      </c>
      <c r="B164" t="s">
        <v>6</v>
      </c>
      <c r="C164" s="1">
        <v>46223.15902777778</v>
      </c>
    </row>
    <row r="165" spans="1:3">
      <c r="A165" t="s">
        <v>171</v>
      </c>
      <c r="B165" t="s">
        <v>69</v>
      </c>
      <c r="C165" s="1">
        <v>46223.196527777778</v>
      </c>
    </row>
    <row r="166" spans="1:3" hidden="1">
      <c r="A166" t="s">
        <v>132</v>
      </c>
      <c r="B166" t="s">
        <v>4</v>
      </c>
      <c r="C166" s="1">
        <v>46223.164583333331</v>
      </c>
    </row>
    <row r="167" spans="1:3" hidden="1">
      <c r="A167" t="s">
        <v>113</v>
      </c>
      <c r="B167" t="s">
        <v>6</v>
      </c>
      <c r="C167" s="1">
        <v>46223.167361111111</v>
      </c>
    </row>
    <row r="168" spans="1:3" hidden="1">
      <c r="A168" t="s">
        <v>133</v>
      </c>
      <c r="B168" t="s">
        <v>33</v>
      </c>
      <c r="C168" s="1">
        <v>46223.176388888889</v>
      </c>
    </row>
    <row r="169" spans="1:3" hidden="1">
      <c r="A169" t="s">
        <v>134</v>
      </c>
      <c r="B169" t="s">
        <v>6</v>
      </c>
      <c r="C169" s="1">
        <v>46223.168055555558</v>
      </c>
    </row>
    <row r="170" spans="1:3">
      <c r="A170" t="s">
        <v>111</v>
      </c>
      <c r="B170" t="s">
        <v>69</v>
      </c>
      <c r="C170" s="1">
        <v>46223.197916666664</v>
      </c>
    </row>
    <row r="171" spans="1:3" hidden="1">
      <c r="A171" t="s">
        <v>23</v>
      </c>
      <c r="B171" t="s">
        <v>33</v>
      </c>
      <c r="C171" s="1">
        <v>46223.186805555553</v>
      </c>
    </row>
    <row r="172" spans="1:3" hidden="1">
      <c r="A172" t="s">
        <v>135</v>
      </c>
      <c r="B172" t="s">
        <v>36</v>
      </c>
      <c r="C172" s="1">
        <v>46223.198611111111</v>
      </c>
    </row>
    <row r="173" spans="1:3">
      <c r="A173" t="s">
        <v>191</v>
      </c>
      <c r="B173" t="s">
        <v>69</v>
      </c>
      <c r="C173" s="1">
        <v>46223.195833333331</v>
      </c>
    </row>
    <row r="174" spans="1:3" hidden="1">
      <c r="A174" t="s">
        <v>25</v>
      </c>
      <c r="B174" t="s">
        <v>33</v>
      </c>
      <c r="C174" s="1">
        <v>46223.171527777777</v>
      </c>
    </row>
    <row r="175" spans="1:3" hidden="1">
      <c r="A175" t="s">
        <v>43</v>
      </c>
      <c r="B175" t="s">
        <v>4</v>
      </c>
      <c r="C175" s="1">
        <v>46223.170138888891</v>
      </c>
    </row>
    <row r="176" spans="1:3">
      <c r="A176" t="s">
        <v>20</v>
      </c>
      <c r="B176" t="s">
        <v>69</v>
      </c>
      <c r="C176" s="1">
        <v>46223.177083333336</v>
      </c>
    </row>
    <row r="177" spans="1:3" hidden="1">
      <c r="A177" t="s">
        <v>137</v>
      </c>
      <c r="B177" t="s">
        <v>6</v>
      </c>
      <c r="C177" s="1">
        <v>46223.15902777778</v>
      </c>
    </row>
    <row r="178" spans="1:3" hidden="1">
      <c r="A178" t="s">
        <v>138</v>
      </c>
      <c r="B178" t="s">
        <v>6</v>
      </c>
      <c r="C178" s="1">
        <v>46223.168055555558</v>
      </c>
    </row>
    <row r="179" spans="1:3" hidden="1">
      <c r="A179" t="s">
        <v>139</v>
      </c>
      <c r="B179" t="s">
        <v>33</v>
      </c>
      <c r="C179" s="1">
        <v>46223.169444444444</v>
      </c>
    </row>
    <row r="180" spans="1:3" hidden="1">
      <c r="A180" t="s">
        <v>94</v>
      </c>
      <c r="B180" t="s">
        <v>6</v>
      </c>
      <c r="C180" s="1">
        <v>46223.154166666667</v>
      </c>
    </row>
    <row r="181" spans="1:3" hidden="1">
      <c r="A181" t="s">
        <v>140</v>
      </c>
      <c r="B181" t="s">
        <v>33</v>
      </c>
      <c r="C181" s="1">
        <v>46223.177777777775</v>
      </c>
    </row>
    <row r="182" spans="1:3">
      <c r="A182" t="s">
        <v>148</v>
      </c>
      <c r="B182" t="s">
        <v>69</v>
      </c>
      <c r="C182" s="1">
        <v>46223.195138888892</v>
      </c>
    </row>
    <row r="183" spans="1:3" hidden="1">
      <c r="A183" t="s">
        <v>142</v>
      </c>
      <c r="B183" t="s">
        <v>33</v>
      </c>
      <c r="C183" s="1">
        <v>46223.174305555556</v>
      </c>
    </row>
    <row r="184" spans="1:3" hidden="1">
      <c r="A184" t="s">
        <v>143</v>
      </c>
      <c r="B184" t="s">
        <v>4</v>
      </c>
      <c r="C184" s="1">
        <v>46223.168055555558</v>
      </c>
    </row>
    <row r="185" spans="1:3" hidden="1">
      <c r="A185" t="s">
        <v>144</v>
      </c>
      <c r="B185" t="s">
        <v>6</v>
      </c>
      <c r="C185" s="1">
        <v>46223.15902777778</v>
      </c>
    </row>
    <row r="186" spans="1:3" hidden="1">
      <c r="A186" t="s">
        <v>95</v>
      </c>
      <c r="B186" t="s">
        <v>33</v>
      </c>
      <c r="C186" s="1">
        <v>46223.168749999997</v>
      </c>
    </row>
    <row r="187" spans="1:3" hidden="1">
      <c r="A187" t="s">
        <v>68</v>
      </c>
      <c r="B187" t="s">
        <v>6</v>
      </c>
      <c r="C187" s="1">
        <v>46223.147916666669</v>
      </c>
    </row>
    <row r="188" spans="1:3" hidden="1">
      <c r="A188" t="s">
        <v>18</v>
      </c>
      <c r="B188" t="s">
        <v>33</v>
      </c>
      <c r="C188" s="1">
        <v>46223.191666666666</v>
      </c>
    </row>
    <row r="189" spans="1:3" hidden="1">
      <c r="A189" t="s">
        <v>57</v>
      </c>
      <c r="B189" t="s">
        <v>6</v>
      </c>
      <c r="C189" s="1">
        <v>46223.171527777777</v>
      </c>
    </row>
    <row r="190" spans="1:3" hidden="1">
      <c r="A190" t="s">
        <v>145</v>
      </c>
      <c r="B190" t="s">
        <v>6</v>
      </c>
      <c r="C190" s="1">
        <v>46223.171527777777</v>
      </c>
    </row>
    <row r="191" spans="1:3" hidden="1">
      <c r="A191" t="s">
        <v>146</v>
      </c>
      <c r="B191" t="s">
        <v>33</v>
      </c>
      <c r="C191" s="1">
        <v>46223.171527777777</v>
      </c>
    </row>
    <row r="192" spans="1:3" hidden="1">
      <c r="A192" t="s">
        <v>147</v>
      </c>
      <c r="B192" t="s">
        <v>6</v>
      </c>
      <c r="C192" s="1">
        <v>46223.156944444447</v>
      </c>
    </row>
    <row r="193" spans="1:3" hidden="1">
      <c r="A193" t="s">
        <v>134</v>
      </c>
      <c r="B193" t="s">
        <v>4</v>
      </c>
      <c r="C193" s="1">
        <v>46223.162499999999</v>
      </c>
    </row>
    <row r="194" spans="1:3" hidden="1">
      <c r="A194" t="s">
        <v>75</v>
      </c>
      <c r="B194" t="s">
        <v>6</v>
      </c>
      <c r="C194" s="1">
        <v>46223.168055555558</v>
      </c>
    </row>
    <row r="195" spans="1:3" hidden="1">
      <c r="A195" t="s">
        <v>148</v>
      </c>
      <c r="B195" t="s">
        <v>4</v>
      </c>
      <c r="C195" s="1">
        <v>46223.167361111111</v>
      </c>
    </row>
    <row r="196" spans="1:3" hidden="1">
      <c r="A196" t="s">
        <v>149</v>
      </c>
      <c r="B196" t="s">
        <v>4</v>
      </c>
      <c r="C196" s="1">
        <v>46223.179861111108</v>
      </c>
    </row>
    <row r="197" spans="1:3" hidden="1">
      <c r="A197" t="s">
        <v>150</v>
      </c>
      <c r="B197" t="s">
        <v>4</v>
      </c>
      <c r="C197" s="1">
        <v>46223.161805555559</v>
      </c>
    </row>
    <row r="198" spans="1:3" hidden="1">
      <c r="A198" t="s">
        <v>151</v>
      </c>
      <c r="B198" t="s">
        <v>4</v>
      </c>
      <c r="C198" s="1">
        <v>46223.168055555558</v>
      </c>
    </row>
    <row r="199" spans="1:3" hidden="1">
      <c r="A199" t="s">
        <v>64</v>
      </c>
      <c r="B199" t="s">
        <v>4</v>
      </c>
      <c r="C199" s="1">
        <v>46223.183333333334</v>
      </c>
    </row>
    <row r="200" spans="1:3" hidden="1">
      <c r="A200" t="s">
        <v>140</v>
      </c>
      <c r="B200" t="s">
        <v>6</v>
      </c>
      <c r="C200" s="1">
        <v>46223.17291666667</v>
      </c>
    </row>
    <row r="201" spans="1:3" hidden="1">
      <c r="A201" t="s">
        <v>135</v>
      </c>
      <c r="B201" t="s">
        <v>6</v>
      </c>
      <c r="C201" s="1">
        <v>46223.15902777778</v>
      </c>
    </row>
    <row r="202" spans="1:3" hidden="1">
      <c r="A202" t="s">
        <v>63</v>
      </c>
      <c r="B202" t="s">
        <v>4</v>
      </c>
      <c r="C202" s="1">
        <v>46223.182638888888</v>
      </c>
    </row>
    <row r="203" spans="1:3" hidden="1">
      <c r="A203" t="s">
        <v>152</v>
      </c>
      <c r="B203" t="s">
        <v>33</v>
      </c>
      <c r="C203" s="1">
        <v>46223.188194444447</v>
      </c>
    </row>
    <row r="204" spans="1:3" hidden="1">
      <c r="A204" t="s">
        <v>153</v>
      </c>
      <c r="B204" t="s">
        <v>4</v>
      </c>
      <c r="C204" s="1">
        <v>46223.169444444444</v>
      </c>
    </row>
    <row r="205" spans="1:3" hidden="1">
      <c r="A205" t="s">
        <v>61</v>
      </c>
      <c r="B205" t="s">
        <v>6</v>
      </c>
      <c r="C205" s="1">
        <v>46223.148611111108</v>
      </c>
    </row>
    <row r="206" spans="1:3" hidden="1">
      <c r="A206" t="s">
        <v>113</v>
      </c>
      <c r="B206" t="s">
        <v>36</v>
      </c>
      <c r="C206" s="1">
        <v>46223.210416666669</v>
      </c>
    </row>
    <row r="207" spans="1:3" hidden="1">
      <c r="A207" t="s">
        <v>83</v>
      </c>
      <c r="B207" t="s">
        <v>6</v>
      </c>
      <c r="C207" s="1">
        <v>46223.17083333333</v>
      </c>
    </row>
    <row r="208" spans="1:3" hidden="1">
      <c r="A208" t="s">
        <v>112</v>
      </c>
      <c r="B208" t="s">
        <v>6</v>
      </c>
      <c r="C208" s="1">
        <v>46223.171527777777</v>
      </c>
    </row>
    <row r="209" spans="1:3">
      <c r="A209" t="s">
        <v>198</v>
      </c>
      <c r="B209" t="s">
        <v>69</v>
      </c>
      <c r="C209" s="1">
        <v>46223.200694444444</v>
      </c>
    </row>
    <row r="210" spans="1:3" hidden="1">
      <c r="A210" t="s">
        <v>155</v>
      </c>
      <c r="B210" t="s">
        <v>4</v>
      </c>
      <c r="C210" s="1">
        <v>46223.179166666669</v>
      </c>
    </row>
    <row r="211" spans="1:3" hidden="1">
      <c r="A211" t="s">
        <v>105</v>
      </c>
      <c r="B211" t="s">
        <v>6</v>
      </c>
      <c r="C211" s="1">
        <v>46223.15902777778</v>
      </c>
    </row>
    <row r="212" spans="1:3" hidden="1">
      <c r="A212" t="s">
        <v>133</v>
      </c>
      <c r="B212" t="s">
        <v>6</v>
      </c>
      <c r="C212" s="1">
        <v>46223.163194444445</v>
      </c>
    </row>
    <row r="213" spans="1:3" hidden="1">
      <c r="A213" t="s">
        <v>135</v>
      </c>
      <c r="B213" t="s">
        <v>4</v>
      </c>
      <c r="C213" s="1">
        <v>46223.181944444441</v>
      </c>
    </row>
    <row r="214" spans="1:3" hidden="1">
      <c r="A214" t="s">
        <v>156</v>
      </c>
      <c r="B214" t="s">
        <v>36</v>
      </c>
      <c r="C214" s="1">
        <v>46223.211111111108</v>
      </c>
    </row>
    <row r="215" spans="1:3" hidden="1">
      <c r="A215" t="s">
        <v>136</v>
      </c>
      <c r="B215" t="s">
        <v>6</v>
      </c>
      <c r="C215" s="1">
        <v>46223.146527777775</v>
      </c>
    </row>
    <row r="216" spans="1:3" hidden="1">
      <c r="A216" t="s">
        <v>157</v>
      </c>
      <c r="B216" t="s">
        <v>4</v>
      </c>
      <c r="C216" s="1">
        <v>46223.181250000001</v>
      </c>
    </row>
    <row r="217" spans="1:3" hidden="1">
      <c r="A217" t="s">
        <v>115</v>
      </c>
      <c r="B217" t="s">
        <v>6</v>
      </c>
      <c r="C217" s="1">
        <v>46223.168055555558</v>
      </c>
    </row>
    <row r="218" spans="1:3" hidden="1">
      <c r="A218" t="s">
        <v>76</v>
      </c>
      <c r="B218" t="s">
        <v>6</v>
      </c>
      <c r="C218" s="1">
        <v>46223.157638888886</v>
      </c>
    </row>
    <row r="219" spans="1:3" hidden="1">
      <c r="A219" t="s">
        <v>158</v>
      </c>
      <c r="B219" t="s">
        <v>6</v>
      </c>
      <c r="C219" s="1">
        <v>46223.163194444445</v>
      </c>
    </row>
    <row r="220" spans="1:3" hidden="1">
      <c r="A220" t="s">
        <v>53</v>
      </c>
      <c r="B220" t="s">
        <v>6</v>
      </c>
      <c r="C220" s="1">
        <v>46223.164583333331</v>
      </c>
    </row>
    <row r="221" spans="1:3" hidden="1">
      <c r="A221" t="s">
        <v>120</v>
      </c>
      <c r="B221" t="s">
        <v>4</v>
      </c>
      <c r="C221" s="1">
        <v>46223.158333333333</v>
      </c>
    </row>
    <row r="222" spans="1:3" hidden="1">
      <c r="A222" t="s">
        <v>106</v>
      </c>
      <c r="B222" t="s">
        <v>4</v>
      </c>
      <c r="C222" s="1">
        <v>46223.162499999999</v>
      </c>
    </row>
    <row r="223" spans="1:3" hidden="1">
      <c r="A223" t="s">
        <v>50</v>
      </c>
      <c r="B223" t="s">
        <v>4</v>
      </c>
      <c r="C223" s="1">
        <v>46223.166666666664</v>
      </c>
    </row>
    <row r="224" spans="1:3" hidden="1">
      <c r="A224" t="s">
        <v>159</v>
      </c>
      <c r="B224" t="s">
        <v>33</v>
      </c>
      <c r="C224" s="1">
        <v>46223.188194444447</v>
      </c>
    </row>
    <row r="225" spans="1:3">
      <c r="A225" t="s">
        <v>98</v>
      </c>
      <c r="B225" t="s">
        <v>69</v>
      </c>
      <c r="C225" s="1">
        <v>46223.183333333334</v>
      </c>
    </row>
    <row r="226" spans="1:3" hidden="1">
      <c r="A226" t="s">
        <v>108</v>
      </c>
      <c r="B226" t="s">
        <v>6</v>
      </c>
      <c r="C226" s="1">
        <v>46223.162499999999</v>
      </c>
    </row>
    <row r="227" spans="1:3" hidden="1">
      <c r="A227" t="s">
        <v>160</v>
      </c>
      <c r="B227" t="s">
        <v>6</v>
      </c>
      <c r="C227" s="1">
        <v>46223.152777777781</v>
      </c>
    </row>
    <row r="228" spans="1:3" hidden="1">
      <c r="A228" t="s">
        <v>30</v>
      </c>
      <c r="B228" t="s">
        <v>4</v>
      </c>
      <c r="C228" s="1">
        <v>46223.180555555555</v>
      </c>
    </row>
    <row r="229" spans="1:3" hidden="1">
      <c r="A229" t="s">
        <v>161</v>
      </c>
      <c r="B229" t="s">
        <v>4</v>
      </c>
      <c r="C229" s="1">
        <v>46223.163888888892</v>
      </c>
    </row>
    <row r="230" spans="1:3">
      <c r="A230" t="s">
        <v>137</v>
      </c>
      <c r="B230" t="s">
        <v>69</v>
      </c>
      <c r="C230" s="1">
        <v>46223.18472222222</v>
      </c>
    </row>
    <row r="231" spans="1:3" hidden="1">
      <c r="A231" t="s">
        <v>162</v>
      </c>
      <c r="B231" t="s">
        <v>33</v>
      </c>
      <c r="C231" s="1">
        <v>46223.169444444444</v>
      </c>
    </row>
    <row r="232" spans="1:3" hidden="1">
      <c r="A232" t="s">
        <v>78</v>
      </c>
      <c r="B232" t="s">
        <v>33</v>
      </c>
      <c r="C232" s="1">
        <v>46223.186805555553</v>
      </c>
    </row>
    <row r="233" spans="1:3" hidden="1">
      <c r="A233" t="s">
        <v>145</v>
      </c>
      <c r="B233" t="s">
        <v>33</v>
      </c>
      <c r="C233" s="1">
        <v>46223.191666666666</v>
      </c>
    </row>
    <row r="234" spans="1:3" hidden="1">
      <c r="A234" t="s">
        <v>163</v>
      </c>
      <c r="B234" t="s">
        <v>6</v>
      </c>
      <c r="C234" s="1">
        <v>46223.171527777777</v>
      </c>
    </row>
    <row r="235" spans="1:3">
      <c r="A235" t="s">
        <v>154</v>
      </c>
      <c r="B235" t="s">
        <v>69</v>
      </c>
      <c r="C235" s="1">
        <v>46223.179861111108</v>
      </c>
    </row>
    <row r="236" spans="1:3">
      <c r="A236" t="s">
        <v>193</v>
      </c>
      <c r="B236" t="s">
        <v>69</v>
      </c>
      <c r="C236" s="1">
        <v>46223.190972222219</v>
      </c>
    </row>
    <row r="237" spans="1:3" hidden="1">
      <c r="A237" t="s">
        <v>12</v>
      </c>
      <c r="B237" t="s">
        <v>33</v>
      </c>
      <c r="C237" s="1">
        <v>46223.177083333336</v>
      </c>
    </row>
    <row r="238" spans="1:3" hidden="1">
      <c r="A238" t="s">
        <v>114</v>
      </c>
      <c r="B238" t="s">
        <v>6</v>
      </c>
      <c r="C238" s="1">
        <v>46223.150694444441</v>
      </c>
    </row>
    <row r="239" spans="1:3" hidden="1">
      <c r="A239" t="s">
        <v>165</v>
      </c>
      <c r="B239" t="s">
        <v>4</v>
      </c>
      <c r="C239" s="1">
        <v>46223.177083333336</v>
      </c>
    </row>
    <row r="240" spans="1:3">
      <c r="A240" t="s">
        <v>9</v>
      </c>
      <c r="B240" t="s">
        <v>69</v>
      </c>
      <c r="C240" s="1">
        <v>46223.189583333333</v>
      </c>
    </row>
    <row r="241" spans="1:3" hidden="1">
      <c r="A241" t="s">
        <v>167</v>
      </c>
      <c r="B241" t="s">
        <v>4</v>
      </c>
      <c r="C241" s="1">
        <v>46223.178472222222</v>
      </c>
    </row>
    <row r="242" spans="1:3" hidden="1">
      <c r="A242" t="s">
        <v>5</v>
      </c>
      <c r="B242" t="s">
        <v>36</v>
      </c>
      <c r="C242" s="1">
        <v>46223.194444444445</v>
      </c>
    </row>
    <row r="243" spans="1:3" hidden="1">
      <c r="A243" t="s">
        <v>168</v>
      </c>
      <c r="B243" t="s">
        <v>6</v>
      </c>
      <c r="C243" s="1">
        <v>46223.145833333336</v>
      </c>
    </row>
    <row r="244" spans="1:3" hidden="1">
      <c r="A244" t="s">
        <v>73</v>
      </c>
      <c r="B244" t="s">
        <v>4</v>
      </c>
      <c r="C244" s="1">
        <v>46223.171527777777</v>
      </c>
    </row>
    <row r="245" spans="1:3" hidden="1">
      <c r="A245" t="s">
        <v>102</v>
      </c>
      <c r="B245" t="s">
        <v>4</v>
      </c>
      <c r="C245" s="1">
        <v>46223.181250000001</v>
      </c>
    </row>
    <row r="246" spans="1:3" hidden="1">
      <c r="A246" t="s">
        <v>169</v>
      </c>
      <c r="B246" t="s">
        <v>6</v>
      </c>
      <c r="C246" s="1">
        <v>46223.147916666669</v>
      </c>
    </row>
    <row r="247" spans="1:3" hidden="1">
      <c r="A247" t="s">
        <v>115</v>
      </c>
      <c r="B247" t="s">
        <v>4</v>
      </c>
      <c r="C247" s="1">
        <v>46223.176388888889</v>
      </c>
    </row>
    <row r="248" spans="1:3" hidden="1">
      <c r="A248" t="s">
        <v>76</v>
      </c>
      <c r="B248" t="s">
        <v>4</v>
      </c>
      <c r="C248" s="1">
        <v>46223.163194444445</v>
      </c>
    </row>
    <row r="249" spans="1:3" hidden="1">
      <c r="A249" t="s">
        <v>170</v>
      </c>
      <c r="B249" t="s">
        <v>4</v>
      </c>
      <c r="C249" s="1">
        <v>46223.17291666667</v>
      </c>
    </row>
    <row r="250" spans="1:3" hidden="1">
      <c r="A250" t="s">
        <v>153</v>
      </c>
      <c r="B250" t="s">
        <v>6</v>
      </c>
      <c r="C250" s="1">
        <v>46223.149305555555</v>
      </c>
    </row>
    <row r="251" spans="1:3" hidden="1">
      <c r="A251" t="s">
        <v>171</v>
      </c>
      <c r="B251" t="s">
        <v>4</v>
      </c>
      <c r="C251" s="1">
        <v>46223.182638888888</v>
      </c>
    </row>
    <row r="252" spans="1:3" hidden="1">
      <c r="A252" t="s">
        <v>154</v>
      </c>
      <c r="B252" t="s">
        <v>4</v>
      </c>
      <c r="C252" s="1">
        <v>46223.168055555558</v>
      </c>
    </row>
    <row r="253" spans="1:3" hidden="1">
      <c r="A253" t="s">
        <v>150</v>
      </c>
      <c r="B253" t="s">
        <v>6</v>
      </c>
      <c r="C253" s="1">
        <v>46223.172222222223</v>
      </c>
    </row>
    <row r="254" spans="1:3" hidden="1">
      <c r="A254" t="s">
        <v>124</v>
      </c>
      <c r="B254" t="s">
        <v>6</v>
      </c>
      <c r="C254" s="1">
        <v>46223.17083333333</v>
      </c>
    </row>
    <row r="255" spans="1:3" hidden="1">
      <c r="A255" t="s">
        <v>49</v>
      </c>
      <c r="B255" t="s">
        <v>36</v>
      </c>
      <c r="C255" s="1">
        <v>46223.205555555556</v>
      </c>
    </row>
    <row r="256" spans="1:3" hidden="1">
      <c r="A256" t="s">
        <v>127</v>
      </c>
      <c r="B256" t="s">
        <v>6</v>
      </c>
      <c r="C256" s="1">
        <v>46223.147222222222</v>
      </c>
    </row>
    <row r="257" spans="1:3" hidden="1">
      <c r="A257" t="s">
        <v>37</v>
      </c>
      <c r="B257" t="s">
        <v>4</v>
      </c>
      <c r="C257" s="1">
        <v>46223.174305555556</v>
      </c>
    </row>
    <row r="258" spans="1:3" hidden="1">
      <c r="A258" t="s">
        <v>172</v>
      </c>
      <c r="B258" t="s">
        <v>33</v>
      </c>
      <c r="C258" s="1">
        <v>46223.180555555555</v>
      </c>
    </row>
    <row r="259" spans="1:3" hidden="1">
      <c r="A259" t="s">
        <v>65</v>
      </c>
      <c r="B259" t="s">
        <v>6</v>
      </c>
      <c r="C259" s="1">
        <v>46223.147222222222</v>
      </c>
    </row>
    <row r="260" spans="1:3" hidden="1">
      <c r="A260" t="s">
        <v>173</v>
      </c>
      <c r="B260" t="s">
        <v>6</v>
      </c>
      <c r="C260" s="1">
        <v>46223.169444444444</v>
      </c>
    </row>
    <row r="261" spans="1:3" hidden="1">
      <c r="A261" t="s">
        <v>158</v>
      </c>
      <c r="B261" t="s">
        <v>33</v>
      </c>
      <c r="C261" s="1">
        <v>46223.171527777777</v>
      </c>
    </row>
    <row r="262" spans="1:3" hidden="1">
      <c r="A262" t="s">
        <v>103</v>
      </c>
      <c r="B262" t="s">
        <v>33</v>
      </c>
      <c r="C262" s="1">
        <v>46223.172222222223</v>
      </c>
    </row>
    <row r="263" spans="1:3" hidden="1">
      <c r="A263" t="s">
        <v>119</v>
      </c>
      <c r="B263" t="s">
        <v>6</v>
      </c>
      <c r="C263" s="1">
        <v>46223.163888888892</v>
      </c>
    </row>
    <row r="264" spans="1:3" hidden="1">
      <c r="A264" t="s">
        <v>163</v>
      </c>
      <c r="B264" t="s">
        <v>4</v>
      </c>
      <c r="C264" s="1">
        <v>46223.162499999999</v>
      </c>
    </row>
    <row r="265" spans="1:3" hidden="1">
      <c r="A265" t="s">
        <v>174</v>
      </c>
      <c r="B265" t="s">
        <v>33</v>
      </c>
      <c r="C265" s="1">
        <v>46223.17291666667</v>
      </c>
    </row>
    <row r="266" spans="1:3" hidden="1">
      <c r="A266" t="s">
        <v>170</v>
      </c>
      <c r="B266" t="s">
        <v>6</v>
      </c>
      <c r="C266" s="1">
        <v>46223.145833333336</v>
      </c>
    </row>
    <row r="267" spans="1:3" hidden="1">
      <c r="A267" t="s">
        <v>164</v>
      </c>
      <c r="B267" t="s">
        <v>4</v>
      </c>
      <c r="C267" s="1">
        <v>46223.177777777775</v>
      </c>
    </row>
    <row r="268" spans="1:3">
      <c r="A268" t="s">
        <v>109</v>
      </c>
      <c r="B268" t="s">
        <v>69</v>
      </c>
      <c r="C268" s="1">
        <v>46223.183333333334</v>
      </c>
    </row>
    <row r="269" spans="1:3" hidden="1">
      <c r="A269" t="s">
        <v>32</v>
      </c>
      <c r="B269" t="s">
        <v>6</v>
      </c>
      <c r="C269" s="1">
        <v>46223.162499999999</v>
      </c>
    </row>
    <row r="270" spans="1:3" hidden="1">
      <c r="A270" t="s">
        <v>169</v>
      </c>
      <c r="B270" t="s">
        <v>36</v>
      </c>
      <c r="C270" s="1">
        <v>46223.19027777778</v>
      </c>
    </row>
    <row r="271" spans="1:3" hidden="1">
      <c r="A271" t="s">
        <v>68</v>
      </c>
      <c r="B271" t="s">
        <v>4</v>
      </c>
      <c r="C271" s="1">
        <v>46223.173611111109</v>
      </c>
    </row>
    <row r="272" spans="1:3" hidden="1">
      <c r="A272" t="s">
        <v>175</v>
      </c>
      <c r="B272" t="s">
        <v>4</v>
      </c>
      <c r="C272" s="1">
        <v>46223.178472222222</v>
      </c>
    </row>
    <row r="273" spans="1:3" hidden="1">
      <c r="A273" t="s">
        <v>176</v>
      </c>
      <c r="B273" t="s">
        <v>4</v>
      </c>
      <c r="C273" s="1">
        <v>46223.177083333336</v>
      </c>
    </row>
    <row r="274" spans="1:3" hidden="1">
      <c r="A274" t="s">
        <v>57</v>
      </c>
      <c r="B274" t="s">
        <v>33</v>
      </c>
      <c r="C274" s="1">
        <v>46223.189583333333</v>
      </c>
    </row>
    <row r="275" spans="1:3" hidden="1">
      <c r="A275" t="s">
        <v>177</v>
      </c>
      <c r="B275" t="s">
        <v>6</v>
      </c>
      <c r="C275" s="1">
        <v>46223.154861111114</v>
      </c>
    </row>
    <row r="276" spans="1:3" hidden="1">
      <c r="A276" t="s">
        <v>132</v>
      </c>
      <c r="B276" t="s">
        <v>6</v>
      </c>
      <c r="C276" s="1">
        <v>46223.15625</v>
      </c>
    </row>
    <row r="277" spans="1:3" hidden="1">
      <c r="A277" t="s">
        <v>60</v>
      </c>
      <c r="B277" t="s">
        <v>6</v>
      </c>
      <c r="C277" s="1">
        <v>46223.162499999999</v>
      </c>
    </row>
    <row r="278" spans="1:3" hidden="1">
      <c r="A278" t="s">
        <v>62</v>
      </c>
      <c r="B278" t="s">
        <v>33</v>
      </c>
      <c r="C278" s="1">
        <v>46223.188888888886</v>
      </c>
    </row>
    <row r="279" spans="1:3" hidden="1">
      <c r="A279" t="s">
        <v>156</v>
      </c>
      <c r="B279" t="s">
        <v>6</v>
      </c>
      <c r="C279" s="1">
        <v>46223.145833333336</v>
      </c>
    </row>
    <row r="280" spans="1:3" hidden="1">
      <c r="A280" t="s">
        <v>123</v>
      </c>
      <c r="B280" t="s">
        <v>4</v>
      </c>
      <c r="C280" s="1">
        <v>46223.167361111111</v>
      </c>
    </row>
    <row r="281" spans="1:3" hidden="1">
      <c r="A281" t="s">
        <v>47</v>
      </c>
      <c r="B281" t="s">
        <v>6</v>
      </c>
      <c r="C281" s="1">
        <v>46223.168055555558</v>
      </c>
    </row>
    <row r="282" spans="1:3" hidden="1">
      <c r="A282" t="s">
        <v>99</v>
      </c>
      <c r="B282" t="s">
        <v>33</v>
      </c>
      <c r="C282" s="1">
        <v>46223.182638888888</v>
      </c>
    </row>
    <row r="283" spans="1:3" hidden="1">
      <c r="A283" t="s">
        <v>178</v>
      </c>
      <c r="B283" t="s">
        <v>4</v>
      </c>
      <c r="C283" s="1">
        <v>46223.175000000003</v>
      </c>
    </row>
    <row r="284" spans="1:3" hidden="1">
      <c r="A284" t="s">
        <v>179</v>
      </c>
      <c r="B284" t="s">
        <v>6</v>
      </c>
      <c r="C284" s="1">
        <v>46223.160416666666</v>
      </c>
    </row>
    <row r="285" spans="1:3" hidden="1">
      <c r="A285" t="s">
        <v>131</v>
      </c>
      <c r="B285" t="s">
        <v>4</v>
      </c>
      <c r="C285" s="1">
        <v>46223.182638888888</v>
      </c>
    </row>
    <row r="286" spans="1:3" hidden="1">
      <c r="A286" t="s">
        <v>180</v>
      </c>
      <c r="B286" t="s">
        <v>4</v>
      </c>
      <c r="C286" s="1">
        <v>46223.17291666667</v>
      </c>
    </row>
    <row r="287" spans="1:3" hidden="1">
      <c r="A287" t="s">
        <v>83</v>
      </c>
      <c r="B287" t="s">
        <v>33</v>
      </c>
      <c r="C287" s="1">
        <v>46223.179166666669</v>
      </c>
    </row>
    <row r="288" spans="1:3" hidden="1">
      <c r="A288" t="s">
        <v>181</v>
      </c>
      <c r="B288" t="s">
        <v>6</v>
      </c>
      <c r="C288" s="1">
        <v>46223.169444444444</v>
      </c>
    </row>
    <row r="289" spans="1:3" hidden="1">
      <c r="A289" t="s">
        <v>146</v>
      </c>
      <c r="B289" t="s">
        <v>6</v>
      </c>
      <c r="C289" s="1">
        <v>46223.163194444445</v>
      </c>
    </row>
    <row r="290" spans="1:3">
      <c r="A290" t="s">
        <v>104</v>
      </c>
      <c r="B290" t="s">
        <v>69</v>
      </c>
      <c r="C290" s="1">
        <v>46223.178472222222</v>
      </c>
    </row>
    <row r="291" spans="1:3" hidden="1">
      <c r="A291" t="s">
        <v>55</v>
      </c>
      <c r="B291" t="s">
        <v>4</v>
      </c>
      <c r="C291" s="1">
        <v>46223.160416666666</v>
      </c>
    </row>
    <row r="292" spans="1:3" hidden="1">
      <c r="A292" t="s">
        <v>183</v>
      </c>
      <c r="B292" t="s">
        <v>6</v>
      </c>
      <c r="C292" s="1">
        <v>46223.162499999999</v>
      </c>
    </row>
    <row r="293" spans="1:3" hidden="1">
      <c r="A293" t="s">
        <v>138</v>
      </c>
      <c r="B293" t="s">
        <v>33</v>
      </c>
      <c r="C293" s="1">
        <v>46223.179861111108</v>
      </c>
    </row>
    <row r="294" spans="1:3" hidden="1">
      <c r="A294" t="s">
        <v>98</v>
      </c>
      <c r="B294" t="s">
        <v>6</v>
      </c>
      <c r="C294" s="1">
        <v>46223.147916666669</v>
      </c>
    </row>
    <row r="295" spans="1:3" hidden="1">
      <c r="A295" t="s">
        <v>72</v>
      </c>
      <c r="B295" t="s">
        <v>33</v>
      </c>
      <c r="C295" s="1">
        <v>46223.174305555556</v>
      </c>
    </row>
    <row r="296" spans="1:3" hidden="1">
      <c r="A296" t="s">
        <v>164</v>
      </c>
      <c r="B296" t="s">
        <v>6</v>
      </c>
      <c r="C296" s="1">
        <v>46223.154166666667</v>
      </c>
    </row>
    <row r="297" spans="1:3" hidden="1">
      <c r="A297" t="s">
        <v>59</v>
      </c>
      <c r="B297" t="s">
        <v>6</v>
      </c>
      <c r="C297" s="1">
        <v>46223.168749999997</v>
      </c>
    </row>
    <row r="298" spans="1:3" hidden="1">
      <c r="A298" t="s">
        <v>126</v>
      </c>
      <c r="B298" t="s">
        <v>6</v>
      </c>
      <c r="C298" s="1">
        <v>46223.162499999999</v>
      </c>
    </row>
    <row r="299" spans="1:3" hidden="1">
      <c r="A299" t="s">
        <v>121</v>
      </c>
      <c r="B299" t="s">
        <v>6</v>
      </c>
      <c r="C299" s="1">
        <v>46223.156944444447</v>
      </c>
    </row>
    <row r="300" spans="1:3">
      <c r="A300" t="s">
        <v>150</v>
      </c>
      <c r="B300" t="s">
        <v>69</v>
      </c>
      <c r="C300" s="1">
        <v>46223.203472222223</v>
      </c>
    </row>
    <row r="301" spans="1:3" hidden="1">
      <c r="A301" t="s">
        <v>162</v>
      </c>
      <c r="B301" t="s">
        <v>6</v>
      </c>
      <c r="C301" s="1">
        <v>46223.169444444444</v>
      </c>
    </row>
    <row r="302" spans="1:3" hidden="1">
      <c r="A302" t="s">
        <v>128</v>
      </c>
      <c r="B302" t="s">
        <v>6</v>
      </c>
      <c r="C302" s="1">
        <v>46223.165972222225</v>
      </c>
    </row>
    <row r="303" spans="1:3" hidden="1">
      <c r="A303" t="s">
        <v>104</v>
      </c>
      <c r="B303" t="s">
        <v>6</v>
      </c>
      <c r="C303" s="1">
        <v>46223.169444444444</v>
      </c>
    </row>
    <row r="304" spans="1:3">
      <c r="A304" t="s">
        <v>106</v>
      </c>
      <c r="B304" t="s">
        <v>69</v>
      </c>
      <c r="C304" s="1">
        <v>46223.192361111112</v>
      </c>
    </row>
    <row r="305" spans="1:3" hidden="1">
      <c r="A305" t="s">
        <v>147</v>
      </c>
      <c r="B305" t="s">
        <v>4</v>
      </c>
      <c r="C305" s="1">
        <v>46223.172222222223</v>
      </c>
    </row>
    <row r="306" spans="1:3" hidden="1">
      <c r="A306" t="s">
        <v>89</v>
      </c>
      <c r="B306" t="s">
        <v>33</v>
      </c>
      <c r="C306" s="1">
        <v>46223.186805555553</v>
      </c>
    </row>
    <row r="307" spans="1:3" hidden="1">
      <c r="A307" t="s">
        <v>10</v>
      </c>
      <c r="B307" t="s">
        <v>33</v>
      </c>
      <c r="C307" s="1">
        <v>46223.173611111109</v>
      </c>
    </row>
    <row r="308" spans="1:3" hidden="1">
      <c r="A308" t="s">
        <v>81</v>
      </c>
      <c r="B308" t="s">
        <v>6</v>
      </c>
      <c r="C308" s="1">
        <v>46223.149305555555</v>
      </c>
    </row>
    <row r="309" spans="1:3">
      <c r="A309" t="s">
        <v>13</v>
      </c>
      <c r="B309" t="s">
        <v>69</v>
      </c>
      <c r="C309" s="1">
        <v>46223.200694444444</v>
      </c>
    </row>
    <row r="310" spans="1:3" hidden="1">
      <c r="A310" t="s">
        <v>185</v>
      </c>
      <c r="B310" t="s">
        <v>4</v>
      </c>
      <c r="C310" s="1">
        <v>46223.181250000001</v>
      </c>
    </row>
    <row r="311" spans="1:3" hidden="1">
      <c r="A311" t="s">
        <v>186</v>
      </c>
      <c r="B311" t="s">
        <v>6</v>
      </c>
      <c r="C311" s="1">
        <v>46223.166666666664</v>
      </c>
    </row>
    <row r="312" spans="1:3">
      <c r="A312" t="s">
        <v>7</v>
      </c>
      <c r="B312" t="s">
        <v>69</v>
      </c>
      <c r="C312" s="1">
        <v>46223.19027777778</v>
      </c>
    </row>
    <row r="313" spans="1:3" hidden="1">
      <c r="A313" t="s">
        <v>122</v>
      </c>
      <c r="B313" t="s">
        <v>4</v>
      </c>
      <c r="C313" s="1">
        <v>46223.169444444444</v>
      </c>
    </row>
    <row r="314" spans="1:3" hidden="1">
      <c r="A314" t="s">
        <v>130</v>
      </c>
      <c r="B314" t="s">
        <v>33</v>
      </c>
      <c r="C314" s="1">
        <v>46223.175000000003</v>
      </c>
    </row>
    <row r="315" spans="1:3" hidden="1">
      <c r="A315" t="s">
        <v>162</v>
      </c>
      <c r="B315" t="s">
        <v>4</v>
      </c>
      <c r="C315" s="1">
        <v>46223.174305555556</v>
      </c>
    </row>
    <row r="316" spans="1:3" hidden="1">
      <c r="A316" t="s">
        <v>131</v>
      </c>
      <c r="B316" t="s">
        <v>6</v>
      </c>
      <c r="C316" s="1">
        <v>46223.164583333331</v>
      </c>
    </row>
    <row r="317" spans="1:3" hidden="1">
      <c r="A317" t="s">
        <v>187</v>
      </c>
      <c r="B317" t="s">
        <v>4</v>
      </c>
      <c r="C317" s="1">
        <v>46223.181250000001</v>
      </c>
    </row>
    <row r="318" spans="1:3" hidden="1">
      <c r="A318" t="s">
        <v>151</v>
      </c>
      <c r="B318" t="s">
        <v>33</v>
      </c>
      <c r="C318" s="1">
        <v>46223.174305555556</v>
      </c>
    </row>
    <row r="319" spans="1:3" hidden="1">
      <c r="A319" t="s">
        <v>180</v>
      </c>
      <c r="B319" t="s">
        <v>33</v>
      </c>
      <c r="C319" s="1">
        <v>46223.171527777777</v>
      </c>
    </row>
    <row r="320" spans="1:3" hidden="1">
      <c r="A320" t="s">
        <v>178</v>
      </c>
      <c r="B320" t="s">
        <v>6</v>
      </c>
      <c r="C320" s="1">
        <v>46223.161111111112</v>
      </c>
    </row>
    <row r="321" spans="1:3" hidden="1">
      <c r="A321" t="s">
        <v>188</v>
      </c>
      <c r="B321" t="s">
        <v>33</v>
      </c>
      <c r="C321" s="1">
        <v>46223.173611111109</v>
      </c>
    </row>
    <row r="322" spans="1:3" hidden="1">
      <c r="A322" t="s">
        <v>126</v>
      </c>
      <c r="B322" t="s">
        <v>33</v>
      </c>
      <c r="C322" s="1">
        <v>46223.177083333336</v>
      </c>
    </row>
    <row r="323" spans="1:3" hidden="1">
      <c r="A323" t="s">
        <v>40</v>
      </c>
      <c r="B323" t="s">
        <v>4</v>
      </c>
      <c r="C323" s="1">
        <v>46223.166666666664</v>
      </c>
    </row>
    <row r="324" spans="1:3" hidden="1">
      <c r="A324" t="s">
        <v>52</v>
      </c>
      <c r="B324" t="s">
        <v>4</v>
      </c>
      <c r="C324" s="1">
        <v>46223.182638888888</v>
      </c>
    </row>
    <row r="325" spans="1:3" hidden="1">
      <c r="A325" t="s">
        <v>111</v>
      </c>
      <c r="B325" t="s">
        <v>4</v>
      </c>
      <c r="C325" s="1">
        <v>46223.175000000003</v>
      </c>
    </row>
    <row r="326" spans="1:3" hidden="1">
      <c r="A326" t="s">
        <v>167</v>
      </c>
      <c r="B326" t="s">
        <v>6</v>
      </c>
      <c r="C326" s="1">
        <v>46223.149305555555</v>
      </c>
    </row>
    <row r="327" spans="1:3" hidden="1">
      <c r="A327" t="s">
        <v>116</v>
      </c>
      <c r="B327" t="s">
        <v>6</v>
      </c>
      <c r="C327" s="1">
        <v>46223.15902777778</v>
      </c>
    </row>
    <row r="328" spans="1:3" hidden="1">
      <c r="A328" t="s">
        <v>45</v>
      </c>
      <c r="B328" t="s">
        <v>6</v>
      </c>
      <c r="C328" s="1">
        <v>46223.168749999997</v>
      </c>
    </row>
    <row r="329" spans="1:3" hidden="1">
      <c r="A329" t="s">
        <v>189</v>
      </c>
      <c r="B329" t="s">
        <v>6</v>
      </c>
      <c r="C329" s="1">
        <v>46223.163888888892</v>
      </c>
    </row>
    <row r="330" spans="1:3" hidden="1">
      <c r="A330" t="s">
        <v>190</v>
      </c>
      <c r="B330" t="s">
        <v>4</v>
      </c>
      <c r="C330" s="1">
        <v>46223.183333333334</v>
      </c>
    </row>
    <row r="331" spans="1:3" hidden="1">
      <c r="A331" t="s">
        <v>13</v>
      </c>
      <c r="B331" t="s">
        <v>4</v>
      </c>
      <c r="C331" s="1">
        <v>46223.157638888886</v>
      </c>
    </row>
    <row r="332" spans="1:3" hidden="1">
      <c r="A332" t="s">
        <v>191</v>
      </c>
      <c r="B332" t="s">
        <v>6</v>
      </c>
      <c r="C332" s="1">
        <v>46223.157638888886</v>
      </c>
    </row>
    <row r="333" spans="1:3" hidden="1">
      <c r="A333" t="s">
        <v>93</v>
      </c>
      <c r="B333" t="s">
        <v>6</v>
      </c>
      <c r="C333" s="1">
        <v>46223.15</v>
      </c>
    </row>
    <row r="334" spans="1:3" hidden="1">
      <c r="A334" t="s">
        <v>169</v>
      </c>
      <c r="B334" t="s">
        <v>4</v>
      </c>
      <c r="C334" s="1">
        <v>46223.15902777778</v>
      </c>
    </row>
    <row r="335" spans="1:3" hidden="1">
      <c r="A335" t="s">
        <v>139</v>
      </c>
      <c r="B335" t="s">
        <v>6</v>
      </c>
      <c r="C335" s="1">
        <v>46223.160416666666</v>
      </c>
    </row>
    <row r="336" spans="1:3" hidden="1">
      <c r="A336" t="s">
        <v>192</v>
      </c>
      <c r="B336" t="s">
        <v>6</v>
      </c>
      <c r="C336" s="1">
        <v>46223.15347222222</v>
      </c>
    </row>
    <row r="337" spans="1:3" hidden="1">
      <c r="A337" t="s">
        <v>182</v>
      </c>
      <c r="B337" t="s">
        <v>6</v>
      </c>
      <c r="C337" s="1">
        <v>46223.171527777777</v>
      </c>
    </row>
    <row r="338" spans="1:3">
      <c r="A338" t="s">
        <v>47</v>
      </c>
      <c r="B338" t="s">
        <v>69</v>
      </c>
      <c r="C338" s="1">
        <v>46223.186805555553</v>
      </c>
    </row>
    <row r="339" spans="1:3" hidden="1">
      <c r="A339" t="s">
        <v>143</v>
      </c>
      <c r="B339" t="s">
        <v>6</v>
      </c>
      <c r="C339" s="1">
        <v>46223.162499999999</v>
      </c>
    </row>
    <row r="340" spans="1:3" hidden="1">
      <c r="A340" t="s">
        <v>176</v>
      </c>
      <c r="B340" t="s">
        <v>36</v>
      </c>
      <c r="C340" s="1">
        <v>46223.189583333333</v>
      </c>
    </row>
    <row r="341" spans="1:3" hidden="1">
      <c r="A341" t="s">
        <v>103</v>
      </c>
      <c r="B341" t="s">
        <v>4</v>
      </c>
      <c r="C341" s="1">
        <v>46223.179861111108</v>
      </c>
    </row>
    <row r="342" spans="1:3" hidden="1">
      <c r="A342" t="s">
        <v>166</v>
      </c>
      <c r="B342" t="s">
        <v>4</v>
      </c>
      <c r="C342" s="1">
        <v>46223.169444444444</v>
      </c>
    </row>
    <row r="343" spans="1:3" hidden="1">
      <c r="A343" t="s">
        <v>116</v>
      </c>
      <c r="B343" t="s">
        <v>33</v>
      </c>
      <c r="C343" s="1">
        <v>46223.178472222222</v>
      </c>
    </row>
    <row r="344" spans="1:3" hidden="1">
      <c r="A344" t="s">
        <v>157</v>
      </c>
      <c r="B344" t="s">
        <v>6</v>
      </c>
      <c r="C344" s="1">
        <v>46223.171527777777</v>
      </c>
    </row>
    <row r="345" spans="1:3" hidden="1">
      <c r="A345" t="s">
        <v>193</v>
      </c>
      <c r="B345" t="s">
        <v>4</v>
      </c>
      <c r="C345" s="1">
        <v>46223.175000000003</v>
      </c>
    </row>
    <row r="346" spans="1:3" hidden="1">
      <c r="A346" t="s">
        <v>120</v>
      </c>
      <c r="B346" t="s">
        <v>6</v>
      </c>
      <c r="C346" s="1">
        <v>46223.161805555559</v>
      </c>
    </row>
    <row r="347" spans="1:3" hidden="1">
      <c r="A347" t="s">
        <v>49</v>
      </c>
      <c r="B347" t="s">
        <v>4</v>
      </c>
      <c r="C347" s="1">
        <v>46223.177083333336</v>
      </c>
    </row>
    <row r="348" spans="1:3" hidden="1">
      <c r="A348" t="s">
        <v>129</v>
      </c>
      <c r="B348" t="s">
        <v>4</v>
      </c>
      <c r="C348" s="1">
        <v>46223.178472222222</v>
      </c>
    </row>
    <row r="349" spans="1:3" hidden="1">
      <c r="A349" t="s">
        <v>82</v>
      </c>
      <c r="B349" t="s">
        <v>36</v>
      </c>
      <c r="C349" s="1">
        <v>46223.212500000001</v>
      </c>
    </row>
    <row r="350" spans="1:3">
      <c r="A350" t="s">
        <v>163</v>
      </c>
      <c r="B350" t="s">
        <v>69</v>
      </c>
      <c r="C350" s="1">
        <v>46223.177777777775</v>
      </c>
    </row>
    <row r="351" spans="1:3">
      <c r="A351" t="s">
        <v>127</v>
      </c>
      <c r="B351" t="s">
        <v>69</v>
      </c>
      <c r="C351" s="1">
        <v>46223.177083333336</v>
      </c>
    </row>
    <row r="352" spans="1:3" hidden="1">
      <c r="A352" t="s">
        <v>194</v>
      </c>
      <c r="B352" t="s">
        <v>6</v>
      </c>
      <c r="C352" s="1">
        <v>46223.159722222219</v>
      </c>
    </row>
    <row r="353" spans="1:3" hidden="1">
      <c r="A353" t="s">
        <v>177</v>
      </c>
      <c r="B353" t="s">
        <v>36</v>
      </c>
      <c r="C353" s="1">
        <v>46223.201388888891</v>
      </c>
    </row>
    <row r="354" spans="1:3" hidden="1">
      <c r="A354" t="s">
        <v>109</v>
      </c>
      <c r="B354" t="s">
        <v>4</v>
      </c>
      <c r="C354" s="1">
        <v>46223.17291666667</v>
      </c>
    </row>
    <row r="355" spans="1:3" hidden="1">
      <c r="A355" t="s">
        <v>97</v>
      </c>
      <c r="B355" t="s">
        <v>4</v>
      </c>
      <c r="C355" s="1">
        <v>46223.163888888892</v>
      </c>
    </row>
    <row r="356" spans="1:3" hidden="1">
      <c r="A356" t="s">
        <v>195</v>
      </c>
      <c r="B356" t="s">
        <v>6</v>
      </c>
      <c r="C356" s="1">
        <v>46223.168055555558</v>
      </c>
    </row>
    <row r="357" spans="1:3" hidden="1">
      <c r="A357" t="s">
        <v>117</v>
      </c>
      <c r="B357" t="s">
        <v>6</v>
      </c>
      <c r="C357" s="1">
        <v>46223.150694444441</v>
      </c>
    </row>
    <row r="358" spans="1:3" hidden="1">
      <c r="A358" t="s">
        <v>24</v>
      </c>
      <c r="B358" t="s">
        <v>6</v>
      </c>
      <c r="C358" s="1">
        <v>46223.152083333334</v>
      </c>
    </row>
    <row r="359" spans="1:3">
      <c r="A359" t="s">
        <v>55</v>
      </c>
      <c r="B359" t="s">
        <v>69</v>
      </c>
      <c r="C359" s="1">
        <v>46223.199305555558</v>
      </c>
    </row>
    <row r="360" spans="1:3" hidden="1">
      <c r="A360" t="s">
        <v>96</v>
      </c>
      <c r="B360" t="s">
        <v>33</v>
      </c>
      <c r="C360" s="1">
        <v>46223.171527777777</v>
      </c>
    </row>
    <row r="361" spans="1:3" hidden="1">
      <c r="A361" t="s">
        <v>92</v>
      </c>
      <c r="B361" t="s">
        <v>36</v>
      </c>
      <c r="C361" s="1">
        <v>46223.199305555558</v>
      </c>
    </row>
    <row r="362" spans="1:3" hidden="1">
      <c r="A362" t="s">
        <v>94</v>
      </c>
      <c r="B362" t="s">
        <v>36</v>
      </c>
      <c r="C362" s="1">
        <v>46223.213194444441</v>
      </c>
    </row>
    <row r="363" spans="1:3" hidden="1">
      <c r="A363" t="s">
        <v>27</v>
      </c>
      <c r="B363" t="s">
        <v>36</v>
      </c>
      <c r="C363" s="1">
        <v>46223.201388888891</v>
      </c>
    </row>
    <row r="364" spans="1:3">
      <c r="A364" t="s">
        <v>11</v>
      </c>
      <c r="B364" t="s">
        <v>69</v>
      </c>
      <c r="C364" s="1">
        <v>46223.19027777778</v>
      </c>
    </row>
    <row r="365" spans="1:3" hidden="1">
      <c r="A365" t="s">
        <v>187</v>
      </c>
      <c r="B365" t="s">
        <v>33</v>
      </c>
      <c r="C365" s="1">
        <v>46223.186805555553</v>
      </c>
    </row>
    <row r="366" spans="1:3" hidden="1">
      <c r="A366" t="s">
        <v>165</v>
      </c>
      <c r="B366" t="s">
        <v>36</v>
      </c>
      <c r="C366" s="1">
        <v>46223.213888888888</v>
      </c>
    </row>
    <row r="367" spans="1:3" hidden="1">
      <c r="A367" t="s">
        <v>196</v>
      </c>
      <c r="B367" t="s">
        <v>33</v>
      </c>
      <c r="C367" s="1">
        <v>46223.169444444444</v>
      </c>
    </row>
    <row r="368" spans="1:3" hidden="1">
      <c r="A368" t="s">
        <v>10</v>
      </c>
      <c r="B368" t="s">
        <v>6</v>
      </c>
      <c r="C368" s="1">
        <v>46223.165277777778</v>
      </c>
    </row>
    <row r="369" spans="1:3" hidden="1">
      <c r="A369" t="s">
        <v>197</v>
      </c>
      <c r="B369" t="s">
        <v>36</v>
      </c>
      <c r="C369" s="1">
        <v>46223.196527777778</v>
      </c>
    </row>
    <row r="370" spans="1:3" hidden="1">
      <c r="A370" t="s">
        <v>118</v>
      </c>
      <c r="B370" t="s">
        <v>4</v>
      </c>
      <c r="C370" s="1">
        <v>46223.158333333333</v>
      </c>
    </row>
    <row r="371" spans="1:3" hidden="1">
      <c r="A371" t="s">
        <v>149</v>
      </c>
      <c r="B371" t="s">
        <v>6</v>
      </c>
      <c r="C371" s="1">
        <v>46223.146527777775</v>
      </c>
    </row>
    <row r="372" spans="1:3" hidden="1">
      <c r="A372" t="s">
        <v>198</v>
      </c>
      <c r="B372" t="s">
        <v>4</v>
      </c>
      <c r="C372" s="1">
        <v>46223.156944444447</v>
      </c>
    </row>
    <row r="373" spans="1:3" hidden="1">
      <c r="A373" t="s">
        <v>27</v>
      </c>
      <c r="B373" t="s">
        <v>4</v>
      </c>
      <c r="C373" s="1">
        <v>46223.181250000001</v>
      </c>
    </row>
    <row r="374" spans="1:3" hidden="1">
      <c r="A374" t="s">
        <v>16</v>
      </c>
      <c r="B374" t="s">
        <v>33</v>
      </c>
      <c r="C374" s="1">
        <v>46223.177083333336</v>
      </c>
    </row>
    <row r="375" spans="1:3" hidden="1">
      <c r="A375" t="s">
        <v>14</v>
      </c>
      <c r="B375" t="s">
        <v>33</v>
      </c>
      <c r="C375" s="1">
        <v>46223.175000000003</v>
      </c>
    </row>
    <row r="376" spans="1:3" hidden="1">
      <c r="A376" t="s">
        <v>105</v>
      </c>
      <c r="B376" t="s">
        <v>36</v>
      </c>
      <c r="C376" s="1">
        <v>46223.207638888889</v>
      </c>
    </row>
    <row r="377" spans="1:3">
      <c r="A377" t="s">
        <v>167</v>
      </c>
      <c r="B377" t="s">
        <v>69</v>
      </c>
      <c r="C377" s="1">
        <v>46223.188888888886</v>
      </c>
    </row>
    <row r="378" spans="1:3" hidden="1">
      <c r="A378" t="s">
        <v>199</v>
      </c>
      <c r="B378" t="s">
        <v>4</v>
      </c>
      <c r="C378" s="1">
        <v>46223.175694444442</v>
      </c>
    </row>
    <row r="379" spans="1:3" hidden="1">
      <c r="A379" t="s">
        <v>66</v>
      </c>
      <c r="B379" t="s">
        <v>6</v>
      </c>
      <c r="C379" s="1">
        <v>46223.163194444445</v>
      </c>
    </row>
    <row r="380" spans="1:3" hidden="1">
      <c r="A380" t="s">
        <v>194</v>
      </c>
      <c r="B380" t="s">
        <v>36</v>
      </c>
      <c r="C380" s="1">
        <v>46223.207638888889</v>
      </c>
    </row>
    <row r="381" spans="1:3" hidden="1">
      <c r="A381" t="s">
        <v>67</v>
      </c>
      <c r="B381" t="s">
        <v>33</v>
      </c>
      <c r="C381" s="1">
        <v>46223.171527777777</v>
      </c>
    </row>
    <row r="382" spans="1:3" hidden="1">
      <c r="A382" t="s">
        <v>129</v>
      </c>
      <c r="B382" t="s">
        <v>6</v>
      </c>
      <c r="C382" s="1">
        <v>46223.15347222222</v>
      </c>
    </row>
    <row r="383" spans="1:3" hidden="1">
      <c r="A383" t="s">
        <v>180</v>
      </c>
      <c r="B383" t="s">
        <v>6</v>
      </c>
      <c r="C383" s="1">
        <v>46223.154166666667</v>
      </c>
    </row>
    <row r="384" spans="1:3" hidden="1">
      <c r="A384" t="s">
        <v>141</v>
      </c>
      <c r="B384" t="s">
        <v>6</v>
      </c>
      <c r="C384" s="1">
        <v>46223.148611111108</v>
      </c>
    </row>
    <row r="385" spans="1:3" hidden="1">
      <c r="A385" t="s">
        <v>43</v>
      </c>
      <c r="B385" t="s">
        <v>6</v>
      </c>
      <c r="C385" s="1">
        <v>46223.165277777778</v>
      </c>
    </row>
    <row r="386" spans="1:3" hidden="1">
      <c r="A386" t="s">
        <v>177</v>
      </c>
      <c r="B386" t="s">
        <v>4</v>
      </c>
      <c r="C386" s="1">
        <v>46223.181944444441</v>
      </c>
    </row>
    <row r="387" spans="1:3" hidden="1">
      <c r="A387" t="s">
        <v>38</v>
      </c>
      <c r="B387" t="s">
        <v>6</v>
      </c>
      <c r="C387" s="1">
        <v>46223.168749999997</v>
      </c>
    </row>
    <row r="388" spans="1:3">
      <c r="A388" t="s">
        <v>68</v>
      </c>
      <c r="B388" t="s">
        <v>69</v>
      </c>
      <c r="C388" s="1">
        <v>46223.18472222222</v>
      </c>
    </row>
    <row r="389" spans="1:3" hidden="1">
      <c r="A389" t="s">
        <v>92</v>
      </c>
      <c r="B389" t="s">
        <v>6</v>
      </c>
      <c r="C389" s="1">
        <v>46223.165972222225</v>
      </c>
    </row>
    <row r="390" spans="1:3" hidden="1">
      <c r="A390" t="s">
        <v>200</v>
      </c>
      <c r="B390" t="s">
        <v>6</v>
      </c>
      <c r="C390" s="1">
        <v>46223.171527777777</v>
      </c>
    </row>
    <row r="391" spans="1:3" hidden="1">
      <c r="A391" t="s">
        <v>190</v>
      </c>
      <c r="B391" t="s">
        <v>36</v>
      </c>
      <c r="C391" s="1">
        <v>46223.213194444441</v>
      </c>
    </row>
    <row r="392" spans="1:3">
      <c r="A392" t="s">
        <v>120</v>
      </c>
      <c r="B392" t="s">
        <v>69</v>
      </c>
      <c r="C392" s="1">
        <v>46223.188194444447</v>
      </c>
    </row>
    <row r="393" spans="1:3">
      <c r="A393" t="s">
        <v>136</v>
      </c>
      <c r="B393" t="s">
        <v>69</v>
      </c>
      <c r="C393" s="1">
        <v>46223.20208333333</v>
      </c>
    </row>
    <row r="394" spans="1:3" hidden="1">
      <c r="A394" t="s">
        <v>123</v>
      </c>
      <c r="B394" t="s">
        <v>6</v>
      </c>
      <c r="C394" s="1">
        <v>46223.171527777777</v>
      </c>
    </row>
    <row r="395" spans="1:3" hidden="1">
      <c r="A395" t="s">
        <v>192</v>
      </c>
      <c r="B395" t="s">
        <v>4</v>
      </c>
      <c r="C395" s="1">
        <v>46223.179166666669</v>
      </c>
    </row>
    <row r="396" spans="1:3" hidden="1">
      <c r="A396" t="s">
        <v>188</v>
      </c>
      <c r="B396" t="s">
        <v>4</v>
      </c>
      <c r="C396" s="1">
        <v>46223.15625</v>
      </c>
    </row>
    <row r="397" spans="1:3" hidden="1">
      <c r="A397" t="s">
        <v>176</v>
      </c>
      <c r="B397" t="s">
        <v>6</v>
      </c>
      <c r="C397" s="1">
        <v>46223.170138888891</v>
      </c>
    </row>
    <row r="398" spans="1:3">
      <c r="A398" t="s">
        <v>141</v>
      </c>
      <c r="B398" t="s">
        <v>69</v>
      </c>
      <c r="C398" s="1">
        <v>46223.18472222222</v>
      </c>
    </row>
    <row r="399" spans="1:3" hidden="1">
      <c r="A399" t="s">
        <v>59</v>
      </c>
      <c r="B399" t="s">
        <v>33</v>
      </c>
      <c r="C399" s="1">
        <v>46223.176388888889</v>
      </c>
    </row>
    <row r="400" spans="1:3" hidden="1">
      <c r="A400" t="s">
        <v>201</v>
      </c>
      <c r="B400" t="s">
        <v>36</v>
      </c>
      <c r="C400" s="1">
        <v>46223.207638888889</v>
      </c>
    </row>
    <row r="401" spans="1:3" hidden="1">
      <c r="A401" t="s">
        <v>138</v>
      </c>
      <c r="B401" t="s">
        <v>4</v>
      </c>
      <c r="C401" s="1">
        <v>46223.174305555556</v>
      </c>
    </row>
    <row r="402" spans="1:3" hidden="1">
      <c r="A402" t="s">
        <v>196</v>
      </c>
      <c r="B402" t="s">
        <v>6</v>
      </c>
      <c r="C402" s="1">
        <v>46223.154166666667</v>
      </c>
    </row>
    <row r="403" spans="1:3" hidden="1">
      <c r="A403" t="s">
        <v>202</v>
      </c>
      <c r="B403" t="s">
        <v>4</v>
      </c>
      <c r="C403" s="1">
        <v>46223.169444444444</v>
      </c>
    </row>
    <row r="404" spans="1:3" hidden="1">
      <c r="A404" t="s">
        <v>124</v>
      </c>
      <c r="B404" t="s">
        <v>36</v>
      </c>
      <c r="C404" s="1">
        <v>46223.206250000003</v>
      </c>
    </row>
    <row r="405" spans="1:3" hidden="1">
      <c r="A405" t="s">
        <v>9</v>
      </c>
      <c r="B405" t="s">
        <v>4</v>
      </c>
      <c r="C405" s="1">
        <v>46223.167361111111</v>
      </c>
    </row>
    <row r="406" spans="1:3" hidden="1">
      <c r="A406" t="s">
        <v>90</v>
      </c>
      <c r="B406" t="s">
        <v>36</v>
      </c>
      <c r="C406" s="1">
        <v>46223.195138888892</v>
      </c>
    </row>
    <row r="407" spans="1:3" hidden="1">
      <c r="A407" t="s">
        <v>73</v>
      </c>
      <c r="B407" t="s">
        <v>33</v>
      </c>
      <c r="C407" s="1">
        <v>46223.172222222223</v>
      </c>
    </row>
    <row r="408" spans="1:3" hidden="1">
      <c r="A408" t="s">
        <v>142</v>
      </c>
      <c r="B408" t="s">
        <v>6</v>
      </c>
      <c r="C408" s="1">
        <v>46223.162499999999</v>
      </c>
    </row>
    <row r="409" spans="1:3" hidden="1">
      <c r="A409" t="s">
        <v>203</v>
      </c>
      <c r="B409" t="s">
        <v>6</v>
      </c>
      <c r="C409" s="1">
        <v>46223.154166666667</v>
      </c>
    </row>
    <row r="410" spans="1:3" hidden="1">
      <c r="A410" t="s">
        <v>185</v>
      </c>
      <c r="B410" t="s">
        <v>6</v>
      </c>
      <c r="C410" s="1">
        <v>46223.165277777778</v>
      </c>
    </row>
    <row r="411" spans="1:3" hidden="1">
      <c r="A411" t="s">
        <v>141</v>
      </c>
      <c r="B411" t="s">
        <v>4</v>
      </c>
      <c r="C411" s="1">
        <v>46223.17291666667</v>
      </c>
    </row>
    <row r="412" spans="1:3" hidden="1">
      <c r="A412" t="s">
        <v>35</v>
      </c>
      <c r="B412" t="s">
        <v>36</v>
      </c>
      <c r="C412" s="1">
        <v>46223.194444444445</v>
      </c>
    </row>
    <row r="413" spans="1:3" hidden="1">
      <c r="A413" t="s">
        <v>100</v>
      </c>
      <c r="B413" t="s">
        <v>33</v>
      </c>
      <c r="C413" s="1">
        <v>46223.191666666666</v>
      </c>
    </row>
    <row r="414" spans="1:3">
      <c r="A414" t="s">
        <v>184</v>
      </c>
      <c r="B414" t="s">
        <v>69</v>
      </c>
      <c r="C414" s="1">
        <v>46223.202777777777</v>
      </c>
    </row>
    <row r="415" spans="1:3" hidden="1">
      <c r="A415" t="s">
        <v>90</v>
      </c>
      <c r="B415" t="s">
        <v>6</v>
      </c>
      <c r="C415" s="1">
        <v>46223.15347222222</v>
      </c>
    </row>
    <row r="416" spans="1:3" hidden="1">
      <c r="A416" t="s">
        <v>199</v>
      </c>
      <c r="B416" t="s">
        <v>6</v>
      </c>
      <c r="C416" s="1">
        <v>46223.162499999999</v>
      </c>
    </row>
    <row r="417" spans="1:3" hidden="1">
      <c r="A417" t="s">
        <v>160</v>
      </c>
      <c r="B417" t="s">
        <v>33</v>
      </c>
      <c r="C417" s="1">
        <v>46223.190972222219</v>
      </c>
    </row>
    <row r="418" spans="1:3" hidden="1">
      <c r="A418" t="s">
        <v>174</v>
      </c>
      <c r="B418" t="s">
        <v>6</v>
      </c>
      <c r="C418" s="1">
        <v>46223.164583333331</v>
      </c>
    </row>
    <row r="419" spans="1:3" hidden="1">
      <c r="A419" t="s">
        <v>125</v>
      </c>
      <c r="B419" t="s">
        <v>6</v>
      </c>
      <c r="C419" s="1">
        <v>46223.157638888886</v>
      </c>
    </row>
    <row r="420" spans="1:3" hidden="1">
      <c r="A420" t="s">
        <v>165</v>
      </c>
      <c r="B420" t="s">
        <v>6</v>
      </c>
      <c r="C420" s="1">
        <v>46223.163194444445</v>
      </c>
    </row>
    <row r="421" spans="1:3" hidden="1">
      <c r="A421" t="s">
        <v>192</v>
      </c>
      <c r="B421" t="s">
        <v>33</v>
      </c>
      <c r="C421" s="1">
        <v>46223.175000000003</v>
      </c>
    </row>
    <row r="422" spans="1:3" hidden="1">
      <c r="A422" t="s">
        <v>137</v>
      </c>
      <c r="B422" t="s">
        <v>4</v>
      </c>
      <c r="C422" s="1">
        <v>46223.174305555556</v>
      </c>
    </row>
    <row r="423" spans="1:3" hidden="1">
      <c r="A423" t="s">
        <v>204</v>
      </c>
      <c r="B423" t="s">
        <v>6</v>
      </c>
      <c r="C423" s="1">
        <v>46223.166666666664</v>
      </c>
    </row>
    <row r="424" spans="1:3" hidden="1">
      <c r="A424" t="s">
        <v>161</v>
      </c>
      <c r="B424" t="s">
        <v>6</v>
      </c>
      <c r="C424" s="1">
        <v>46223.15347222222</v>
      </c>
    </row>
    <row r="425" spans="1:3" hidden="1">
      <c r="A425" t="s">
        <v>175</v>
      </c>
      <c r="B425" t="s">
        <v>6</v>
      </c>
      <c r="C425" s="1">
        <v>46223.154861111114</v>
      </c>
    </row>
    <row r="426" spans="1:3" hidden="1">
      <c r="A426" t="s">
        <v>109</v>
      </c>
      <c r="B426" t="s">
        <v>6</v>
      </c>
      <c r="C426" s="1">
        <v>46223.169444444444</v>
      </c>
    </row>
    <row r="427" spans="1:3">
      <c r="A427" t="s">
        <v>182</v>
      </c>
      <c r="B427" t="s">
        <v>69</v>
      </c>
      <c r="C427" s="1">
        <v>46223.177777777775</v>
      </c>
    </row>
    <row r="428" spans="1:3" hidden="1">
      <c r="A428" t="s">
        <v>75</v>
      </c>
      <c r="B428" t="s">
        <v>4</v>
      </c>
      <c r="C428" s="1">
        <v>46223.181250000001</v>
      </c>
    </row>
    <row r="429" spans="1:3" hidden="1">
      <c r="A429" t="s">
        <v>148</v>
      </c>
      <c r="B429" t="s">
        <v>6</v>
      </c>
      <c r="C429" s="1">
        <v>46223.147916666669</v>
      </c>
    </row>
    <row r="430" spans="1:3" hidden="1">
      <c r="A430" t="s">
        <v>80</v>
      </c>
      <c r="B430" t="s">
        <v>36</v>
      </c>
      <c r="C430" s="1">
        <v>46223.193749999999</v>
      </c>
    </row>
    <row r="431" spans="1:3" hidden="1">
      <c r="A431" t="s">
        <v>65</v>
      </c>
      <c r="B431" t="s">
        <v>4</v>
      </c>
      <c r="C431" s="1">
        <v>46223.177777777775</v>
      </c>
    </row>
    <row r="432" spans="1:3" hidden="1">
      <c r="A432" t="s">
        <v>17</v>
      </c>
      <c r="B432" t="s">
        <v>33</v>
      </c>
      <c r="C432" s="1">
        <v>46223.174305555556</v>
      </c>
    </row>
    <row r="433" spans="1:3">
      <c r="A433" t="s">
        <v>131</v>
      </c>
      <c r="B433" t="s">
        <v>69</v>
      </c>
      <c r="C433" s="1">
        <v>46223.177777777775</v>
      </c>
    </row>
    <row r="434" spans="1:3" hidden="1">
      <c r="A434" t="s">
        <v>173</v>
      </c>
      <c r="B434" t="s">
        <v>33</v>
      </c>
      <c r="C434" s="1">
        <v>46223.179861111108</v>
      </c>
    </row>
    <row r="435" spans="1:3" hidden="1">
      <c r="A435" t="s">
        <v>56</v>
      </c>
      <c r="B435" t="s">
        <v>33</v>
      </c>
      <c r="C435" s="1">
        <v>46223.182638888888</v>
      </c>
    </row>
    <row r="436" spans="1:3" hidden="1">
      <c r="A436" t="s">
        <v>41</v>
      </c>
      <c r="B436" t="s">
        <v>33</v>
      </c>
      <c r="C436" s="1">
        <v>46223.1875</v>
      </c>
    </row>
    <row r="437" spans="1:3" hidden="1">
      <c r="A437" t="s">
        <v>161</v>
      </c>
      <c r="B437" t="s">
        <v>36</v>
      </c>
      <c r="C437" s="1">
        <v>46223.203472222223</v>
      </c>
    </row>
    <row r="438" spans="1:3" hidden="1">
      <c r="A438" t="s">
        <v>54</v>
      </c>
      <c r="B438" t="s">
        <v>33</v>
      </c>
      <c r="C438" s="1">
        <v>46223.179861111108</v>
      </c>
    </row>
    <row r="439" spans="1:3" hidden="1">
      <c r="A439" t="s">
        <v>156</v>
      </c>
      <c r="B439" t="s">
        <v>4</v>
      </c>
      <c r="C439" s="1">
        <v>46223.159722222219</v>
      </c>
    </row>
    <row r="440" spans="1:3" hidden="1">
      <c r="A440" t="s">
        <v>80</v>
      </c>
      <c r="B440" t="s">
        <v>4</v>
      </c>
      <c r="C440" s="1">
        <v>46223.158333333333</v>
      </c>
    </row>
    <row r="441" spans="1:3" hidden="1">
      <c r="A441" t="s">
        <v>189</v>
      </c>
      <c r="B441" t="s">
        <v>33</v>
      </c>
      <c r="C441" s="1">
        <v>46223.177777777775</v>
      </c>
    </row>
    <row r="442" spans="1:3" hidden="1">
      <c r="A442" t="s">
        <v>60</v>
      </c>
      <c r="B442" t="s">
        <v>33</v>
      </c>
      <c r="C442" s="1">
        <v>46223.192361111112</v>
      </c>
    </row>
    <row r="443" spans="1:3" hidden="1">
      <c r="A443" t="s">
        <v>70</v>
      </c>
      <c r="B443" t="s">
        <v>33</v>
      </c>
      <c r="C443" s="1">
        <v>46223.171527777777</v>
      </c>
    </row>
    <row r="444" spans="1:3" hidden="1">
      <c r="A444" t="s">
        <v>136</v>
      </c>
      <c r="B444" t="s">
        <v>4</v>
      </c>
      <c r="C444" s="1">
        <v>46223.178472222222</v>
      </c>
    </row>
    <row r="445" spans="1:3" hidden="1">
      <c r="A445" t="s">
        <v>191</v>
      </c>
      <c r="B445" t="s">
        <v>4</v>
      </c>
      <c r="C445" s="1">
        <v>46223.180555555555</v>
      </c>
    </row>
    <row r="446" spans="1:3" hidden="1">
      <c r="A446" t="s">
        <v>193</v>
      </c>
      <c r="B446" t="s">
        <v>6</v>
      </c>
      <c r="C446" s="1">
        <v>46223.154166666667</v>
      </c>
    </row>
    <row r="447" spans="1:3" hidden="1">
      <c r="A447" t="s">
        <v>15</v>
      </c>
      <c r="B447" t="s">
        <v>6</v>
      </c>
      <c r="C447" s="1">
        <v>46223.154861111114</v>
      </c>
    </row>
    <row r="448" spans="1:3" hidden="1">
      <c r="A448" t="s">
        <v>3</v>
      </c>
      <c r="B448" t="s">
        <v>6</v>
      </c>
      <c r="C448" s="1">
        <v>46223.169444444444</v>
      </c>
    </row>
    <row r="449" spans="1:3" hidden="1">
      <c r="A449" t="s">
        <v>205</v>
      </c>
      <c r="B449" t="s">
        <v>6</v>
      </c>
      <c r="C449" s="1">
        <v>46223.165277777778</v>
      </c>
    </row>
    <row r="450" spans="1:3" hidden="1">
      <c r="A450" t="s">
        <v>152</v>
      </c>
      <c r="B450" t="s">
        <v>4</v>
      </c>
      <c r="C450" s="1">
        <v>46223.163888888892</v>
      </c>
    </row>
    <row r="451" spans="1:3" hidden="1">
      <c r="A451" t="s">
        <v>122</v>
      </c>
      <c r="B451" t="s">
        <v>6</v>
      </c>
      <c r="C451" s="1">
        <v>46223.160416666666</v>
      </c>
    </row>
    <row r="452" spans="1:3" hidden="1">
      <c r="A452" t="s">
        <v>85</v>
      </c>
      <c r="B452" t="s">
        <v>4</v>
      </c>
      <c r="C452" s="1">
        <v>46223.180555555555</v>
      </c>
    </row>
    <row r="453" spans="1:3" hidden="1">
      <c r="A453" t="s">
        <v>107</v>
      </c>
      <c r="B453" t="s">
        <v>6</v>
      </c>
      <c r="C453" s="1">
        <v>46223.15</v>
      </c>
    </row>
    <row r="454" spans="1:3" hidden="1">
      <c r="A454" t="s">
        <v>195</v>
      </c>
      <c r="B454" t="s">
        <v>33</v>
      </c>
      <c r="C454" s="1">
        <v>46223.184027777781</v>
      </c>
    </row>
    <row r="455" spans="1:3" hidden="1">
      <c r="A455" t="s">
        <v>108</v>
      </c>
      <c r="B455" t="s">
        <v>4</v>
      </c>
      <c r="C455" s="1">
        <v>46223.15625</v>
      </c>
    </row>
    <row r="456" spans="1:3">
      <c r="A456" t="s">
        <v>134</v>
      </c>
      <c r="B456" t="s">
        <v>69</v>
      </c>
      <c r="C456" s="1">
        <v>46223.184027777781</v>
      </c>
    </row>
    <row r="457" spans="1:3" hidden="1">
      <c r="A457" t="s">
        <v>170</v>
      </c>
      <c r="B457" t="s">
        <v>33</v>
      </c>
      <c r="C457" s="1">
        <v>46223.193749999999</v>
      </c>
    </row>
    <row r="458" spans="1:3">
      <c r="A458" t="s">
        <v>149</v>
      </c>
      <c r="B458" t="s">
        <v>69</v>
      </c>
      <c r="C458" s="1">
        <v>46223.177777777775</v>
      </c>
    </row>
    <row r="459" spans="1:3" hidden="1">
      <c r="A459" t="s">
        <v>28</v>
      </c>
      <c r="B459" t="s">
        <v>33</v>
      </c>
      <c r="C459" s="1">
        <v>46223.181944444441</v>
      </c>
    </row>
    <row r="460" spans="1:3" hidden="1">
      <c r="A460" t="s">
        <v>53</v>
      </c>
      <c r="B460" t="s">
        <v>33</v>
      </c>
      <c r="C460" s="1">
        <v>46223.166666666664</v>
      </c>
    </row>
    <row r="461" spans="1:3" hidden="1">
      <c r="A461" t="s">
        <v>26</v>
      </c>
      <c r="B461" t="s">
        <v>6</v>
      </c>
      <c r="C461" s="1">
        <v>46223.160416666666</v>
      </c>
    </row>
    <row r="462" spans="1:3" hidden="1">
      <c r="A462" t="s">
        <v>133</v>
      </c>
      <c r="B462" t="s">
        <v>4</v>
      </c>
      <c r="C462" s="1">
        <v>46223.178472222222</v>
      </c>
    </row>
    <row r="463" spans="1:3" hidden="1">
      <c r="A463" t="s">
        <v>78</v>
      </c>
      <c r="B463" t="s">
        <v>4</v>
      </c>
      <c r="C463" s="1">
        <v>46223.158333333333</v>
      </c>
    </row>
    <row r="464" spans="1:3" hidden="1">
      <c r="A464" t="s">
        <v>188</v>
      </c>
      <c r="B464" t="s">
        <v>6</v>
      </c>
      <c r="C464" s="1">
        <v>46223.163194444445</v>
      </c>
    </row>
    <row r="465" spans="1:3" hidden="1">
      <c r="A465" t="s">
        <v>190</v>
      </c>
      <c r="B465" t="s">
        <v>6</v>
      </c>
      <c r="C465" s="1">
        <v>46223.166666666664</v>
      </c>
    </row>
    <row r="466" spans="1:3" hidden="1">
      <c r="A466" t="s">
        <v>144</v>
      </c>
      <c r="B466" t="s">
        <v>33</v>
      </c>
      <c r="C466" s="1">
        <v>46223.173611111109</v>
      </c>
    </row>
    <row r="467" spans="1:3" hidden="1">
      <c r="A467" t="s">
        <v>154</v>
      </c>
      <c r="B467" t="s">
        <v>6</v>
      </c>
      <c r="C467" s="1">
        <v>46223.150694444441</v>
      </c>
    </row>
    <row r="468" spans="1:3">
      <c r="A468" t="s">
        <v>42</v>
      </c>
      <c r="B468" t="s">
        <v>69</v>
      </c>
      <c r="C468" s="1">
        <v>46223.198611111111</v>
      </c>
    </row>
    <row r="469" spans="1:3" hidden="1">
      <c r="A469" t="s">
        <v>151</v>
      </c>
      <c r="B469" t="s">
        <v>6</v>
      </c>
      <c r="C469" s="1">
        <v>46223.164583333331</v>
      </c>
    </row>
    <row r="470" spans="1:3" hidden="1">
      <c r="A470" t="s">
        <v>186</v>
      </c>
      <c r="B470" t="s">
        <v>33</v>
      </c>
      <c r="C470" s="1">
        <v>46223.188194444447</v>
      </c>
    </row>
    <row r="471" spans="1:3" hidden="1">
      <c r="A471" t="s">
        <v>172</v>
      </c>
      <c r="B471" t="s">
        <v>6</v>
      </c>
      <c r="C471" s="1">
        <v>46223.163194444445</v>
      </c>
    </row>
    <row r="472" spans="1:3" hidden="1">
      <c r="A472" t="s">
        <v>166</v>
      </c>
      <c r="B472" t="s">
        <v>6</v>
      </c>
      <c r="C472" s="1">
        <v>46223.167361111111</v>
      </c>
    </row>
    <row r="473" spans="1:3" hidden="1">
      <c r="A473" t="s">
        <v>87</v>
      </c>
      <c r="B473" t="s">
        <v>6</v>
      </c>
      <c r="C473" s="1">
        <v>46223.151388888888</v>
      </c>
    </row>
    <row r="474" spans="1:3" hidden="1">
      <c r="A474" t="s">
        <v>203</v>
      </c>
      <c r="B474" t="s">
        <v>33</v>
      </c>
      <c r="C474" s="1">
        <v>46223.170138888891</v>
      </c>
    </row>
    <row r="475" spans="1:3" hidden="1">
      <c r="A475" t="s">
        <v>206</v>
      </c>
      <c r="B475" t="s">
        <v>33</v>
      </c>
      <c r="C475" s="1">
        <v>46223.189583333333</v>
      </c>
    </row>
    <row r="476" spans="1:3" hidden="1">
      <c r="A476" t="s">
        <v>88</v>
      </c>
      <c r="B476" t="s">
        <v>6</v>
      </c>
      <c r="C476" s="1">
        <v>46223.17291666667</v>
      </c>
    </row>
    <row r="477" spans="1:3" hidden="1">
      <c r="A477" t="s">
        <v>85</v>
      </c>
      <c r="B477" t="s">
        <v>33</v>
      </c>
      <c r="C477" s="1">
        <v>46223.180555555555</v>
      </c>
    </row>
    <row r="478" spans="1:3" hidden="1">
      <c r="A478" t="s">
        <v>197</v>
      </c>
      <c r="B478" t="s">
        <v>6</v>
      </c>
      <c r="C478" s="1">
        <v>46223.148611111108</v>
      </c>
    </row>
    <row r="479" spans="1:3">
      <c r="A479" t="s">
        <v>153</v>
      </c>
      <c r="B479" t="s">
        <v>69</v>
      </c>
      <c r="C479" s="1">
        <v>46223.182638888888</v>
      </c>
    </row>
    <row r="480" spans="1:3" hidden="1">
      <c r="A480" t="s">
        <v>205</v>
      </c>
      <c r="B480" t="s">
        <v>33</v>
      </c>
      <c r="C480" s="1">
        <v>46223.17291666667</v>
      </c>
    </row>
    <row r="481" spans="1:3" hidden="1">
      <c r="A481" t="s">
        <v>159</v>
      </c>
      <c r="B481" t="s">
        <v>6</v>
      </c>
      <c r="C481" s="1">
        <v>46223.165277777778</v>
      </c>
    </row>
    <row r="482" spans="1:3" hidden="1">
      <c r="A482" t="s">
        <v>197</v>
      </c>
      <c r="B482" t="s">
        <v>4</v>
      </c>
      <c r="C482" s="1">
        <v>46223.182638888888</v>
      </c>
    </row>
    <row r="483" spans="1:3">
      <c r="A483" t="s">
        <v>48</v>
      </c>
      <c r="B483" t="s">
        <v>69</v>
      </c>
      <c r="C483" s="1">
        <v>46223.20416666667</v>
      </c>
    </row>
    <row r="484" spans="1:3" hidden="1">
      <c r="A484" t="s">
        <v>42</v>
      </c>
      <c r="B484" t="s">
        <v>4</v>
      </c>
      <c r="C484" s="1">
        <v>46223.180555555555</v>
      </c>
    </row>
    <row r="485" spans="1:3" hidden="1">
      <c r="A485" t="s">
        <v>98</v>
      </c>
      <c r="B485" t="s">
        <v>4</v>
      </c>
      <c r="C485" s="1">
        <v>46223.165277777778</v>
      </c>
    </row>
    <row r="486" spans="1:3" hidden="1">
      <c r="A486" t="s">
        <v>207</v>
      </c>
      <c r="B486" t="s">
        <v>6</v>
      </c>
      <c r="C486" s="1">
        <v>46223.164583333331</v>
      </c>
    </row>
    <row r="487" spans="1:3">
      <c r="A487" t="s">
        <v>132</v>
      </c>
      <c r="B487" t="s">
        <v>69</v>
      </c>
      <c r="C487" s="1">
        <v>46223.199999999997</v>
      </c>
    </row>
    <row r="488" spans="1:3" hidden="1">
      <c r="A488" t="s">
        <v>184</v>
      </c>
      <c r="B488" t="s">
        <v>6</v>
      </c>
      <c r="C488" s="1">
        <v>46223.154861111114</v>
      </c>
    </row>
    <row r="489" spans="1:3">
      <c r="A489" t="s">
        <v>38</v>
      </c>
      <c r="B489" t="s">
        <v>69</v>
      </c>
      <c r="C489" s="1">
        <v>46223.188888888886</v>
      </c>
    </row>
    <row r="490" spans="1:3" hidden="1">
      <c r="A490" t="s">
        <v>119</v>
      </c>
      <c r="B490" t="s">
        <v>36</v>
      </c>
      <c r="C490" s="1">
        <v>46223.199999999997</v>
      </c>
    </row>
    <row r="491" spans="1:3" hidden="1">
      <c r="A491" t="s">
        <v>201</v>
      </c>
      <c r="B491" t="s">
        <v>6</v>
      </c>
      <c r="C491" s="1">
        <v>46223.169444444444</v>
      </c>
    </row>
    <row r="492" spans="1:3" hidden="1">
      <c r="A492" t="s">
        <v>171</v>
      </c>
      <c r="B492" t="s">
        <v>6</v>
      </c>
      <c r="C492" s="1">
        <v>46223.168055555558</v>
      </c>
    </row>
    <row r="493" spans="1:3" hidden="1">
      <c r="A493" t="s">
        <v>155</v>
      </c>
      <c r="B493" t="s">
        <v>6</v>
      </c>
      <c r="C493" s="1">
        <v>46223.164583333331</v>
      </c>
    </row>
    <row r="494" spans="1:3" hidden="1">
      <c r="A494" t="s">
        <v>31</v>
      </c>
      <c r="B494" t="s">
        <v>33</v>
      </c>
      <c r="C494" s="1">
        <v>46223.179166666669</v>
      </c>
    </row>
    <row r="495" spans="1:3">
      <c r="A495" t="s">
        <v>30</v>
      </c>
      <c r="B495" t="s">
        <v>69</v>
      </c>
      <c r="C495" s="1">
        <v>46223.1875</v>
      </c>
    </row>
    <row r="496" spans="1:3" hidden="1">
      <c r="A496" t="s">
        <v>182</v>
      </c>
      <c r="B496" t="s">
        <v>4</v>
      </c>
      <c r="C496" s="1">
        <v>46223.164583333331</v>
      </c>
    </row>
    <row r="497" spans="1:3" hidden="1">
      <c r="A497" t="s">
        <v>202</v>
      </c>
      <c r="B497" t="s">
        <v>36</v>
      </c>
      <c r="C497" s="1">
        <v>46223.199305555558</v>
      </c>
    </row>
    <row r="498" spans="1:3" hidden="1">
      <c r="A498" t="s">
        <v>184</v>
      </c>
      <c r="B498" t="s">
        <v>4</v>
      </c>
      <c r="C498" s="1">
        <v>46223.156944444447</v>
      </c>
    </row>
    <row r="499" spans="1:3" hidden="1">
      <c r="A499" t="s">
        <v>22</v>
      </c>
      <c r="B499" t="s">
        <v>4</v>
      </c>
      <c r="C499" s="1">
        <v>46223.165277777778</v>
      </c>
    </row>
    <row r="500" spans="1:3" hidden="1">
      <c r="A500" t="s">
        <v>35</v>
      </c>
      <c r="B500" t="s">
        <v>4</v>
      </c>
      <c r="C500" s="1">
        <v>46223.165972222225</v>
      </c>
    </row>
    <row r="501" spans="1:3" hidden="1">
      <c r="A501" t="s">
        <v>37</v>
      </c>
      <c r="B501" t="s">
        <v>36</v>
      </c>
      <c r="C501" s="1">
        <v>46223.192361111112</v>
      </c>
    </row>
    <row r="502" spans="1:3" hidden="1">
      <c r="A502" t="s">
        <v>175</v>
      </c>
      <c r="B502" t="s">
        <v>36</v>
      </c>
      <c r="C502" s="1">
        <v>46223.213888888888</v>
      </c>
    </row>
    <row r="503" spans="1:3" hidden="1">
      <c r="A503" t="s">
        <v>74</v>
      </c>
      <c r="B503" t="s">
        <v>6</v>
      </c>
      <c r="C503" s="1">
        <v>46223.160416666666</v>
      </c>
    </row>
    <row r="504" spans="1:3" hidden="1">
      <c r="A504" t="s">
        <v>70</v>
      </c>
      <c r="B504" t="s">
        <v>6</v>
      </c>
      <c r="C504" s="1">
        <v>46223.167361111111</v>
      </c>
    </row>
    <row r="505" spans="1:3">
      <c r="A505" t="s">
        <v>185</v>
      </c>
      <c r="B505" t="s">
        <v>69</v>
      </c>
      <c r="C505" s="1">
        <v>46223.200694444444</v>
      </c>
    </row>
    <row r="506" spans="1:3" hidden="1">
      <c r="A506" t="s">
        <v>157</v>
      </c>
      <c r="B506" t="s">
        <v>36</v>
      </c>
      <c r="C506" s="1">
        <v>46223.211111111108</v>
      </c>
    </row>
    <row r="507" spans="1:3" hidden="1">
      <c r="A507" t="s">
        <v>194</v>
      </c>
      <c r="B507" t="s">
        <v>4</v>
      </c>
      <c r="C507" s="1">
        <v>46223.180555555555</v>
      </c>
    </row>
    <row r="508" spans="1:3" hidden="1">
      <c r="A508" t="s">
        <v>107</v>
      </c>
      <c r="B508" t="s">
        <v>36</v>
      </c>
      <c r="C508" s="1">
        <v>46223.207638888889</v>
      </c>
    </row>
    <row r="509" spans="1:3" hidden="1">
      <c r="A509" t="s">
        <v>146</v>
      </c>
      <c r="B509" t="s">
        <v>4</v>
      </c>
      <c r="C509" s="1">
        <v>46223.180555555555</v>
      </c>
    </row>
    <row r="510" spans="1:3" hidden="1">
      <c r="A510" t="s">
        <v>63</v>
      </c>
      <c r="B510" t="s">
        <v>6</v>
      </c>
      <c r="C510" s="1">
        <v>46223.160416666666</v>
      </c>
    </row>
    <row r="511" spans="1:3" hidden="1">
      <c r="A511" t="s">
        <v>207</v>
      </c>
      <c r="B511" t="s">
        <v>33</v>
      </c>
      <c r="C511" s="1">
        <v>46223.182638888888</v>
      </c>
    </row>
    <row r="512" spans="1:3" hidden="1">
      <c r="A512" t="s">
        <v>206</v>
      </c>
      <c r="B512" t="s">
        <v>6</v>
      </c>
      <c r="C512" s="1">
        <v>46223.172222222223</v>
      </c>
    </row>
    <row r="513" spans="1:3" hidden="1">
      <c r="A513" t="s">
        <v>71</v>
      </c>
      <c r="B513" t="s">
        <v>33</v>
      </c>
      <c r="C513" s="1">
        <v>46223.176388888889</v>
      </c>
    </row>
    <row r="514" spans="1:3" hidden="1">
      <c r="A514" t="s">
        <v>74</v>
      </c>
      <c r="B514" t="s">
        <v>4</v>
      </c>
      <c r="C514" s="1">
        <v>46223.170138888891</v>
      </c>
    </row>
    <row r="515" spans="1:3" hidden="1">
      <c r="A515" t="s">
        <v>86</v>
      </c>
      <c r="B515" t="s">
        <v>6</v>
      </c>
      <c r="C515" s="1">
        <v>46223.149305555555</v>
      </c>
    </row>
    <row r="516" spans="1:3" hidden="1">
      <c r="A516" t="s">
        <v>20</v>
      </c>
      <c r="B516" t="s">
        <v>6</v>
      </c>
      <c r="C516" s="1">
        <v>46223.157638888886</v>
      </c>
    </row>
    <row r="517" spans="1:3" hidden="1">
      <c r="A517" t="s">
        <v>179</v>
      </c>
      <c r="B517" t="s">
        <v>33</v>
      </c>
      <c r="C517" s="1">
        <v>46223.168055555558</v>
      </c>
    </row>
    <row r="518" spans="1:3" hidden="1">
      <c r="A518" t="s">
        <v>202</v>
      </c>
      <c r="B518" t="s">
        <v>6</v>
      </c>
      <c r="C518" s="1">
        <v>46223.169444444444</v>
      </c>
    </row>
    <row r="519" spans="1:3" hidden="1">
      <c r="A519" t="s">
        <v>24</v>
      </c>
      <c r="B519" t="s">
        <v>33</v>
      </c>
      <c r="C519" s="1">
        <v>46223.180555555555</v>
      </c>
    </row>
    <row r="520" spans="1:3" hidden="1">
      <c r="A520" t="s">
        <v>152</v>
      </c>
      <c r="B520" t="s">
        <v>6</v>
      </c>
      <c r="C520" s="1">
        <v>46223.147222222222</v>
      </c>
    </row>
    <row r="521" spans="1:3" hidden="1">
      <c r="A521" t="s">
        <v>198</v>
      </c>
      <c r="B521" t="s">
        <v>6</v>
      </c>
      <c r="C521" s="1">
        <v>46223.170138888891</v>
      </c>
    </row>
    <row r="522" spans="1:3" hidden="1">
      <c r="A522" t="s">
        <v>181</v>
      </c>
      <c r="B522" t="s">
        <v>33</v>
      </c>
      <c r="C522" s="1">
        <v>46223.17083333333</v>
      </c>
    </row>
    <row r="523" spans="1:3" hidden="1">
      <c r="A523" t="s">
        <v>187</v>
      </c>
      <c r="B523" t="s">
        <v>6</v>
      </c>
      <c r="C523" s="1">
        <v>46223.17083333333</v>
      </c>
    </row>
    <row r="524" spans="1:3" hidden="1">
      <c r="A524" t="s">
        <v>22</v>
      </c>
      <c r="B524" t="s">
        <v>33</v>
      </c>
      <c r="C524" s="1">
        <v>46223.186111111114</v>
      </c>
    </row>
    <row r="525" spans="1:3" hidden="1">
      <c r="A525" t="s">
        <v>91</v>
      </c>
      <c r="B525" t="s">
        <v>6</v>
      </c>
      <c r="C525" s="1">
        <v>46223.167361111111</v>
      </c>
    </row>
    <row r="526" spans="1:3" hidden="1">
      <c r="A526" t="s">
        <v>204</v>
      </c>
      <c r="B526" t="s">
        <v>33</v>
      </c>
      <c r="C526" s="1">
        <v>46223.180555555555</v>
      </c>
    </row>
    <row r="527" spans="1:3">
      <c r="A527" t="s">
        <v>79</v>
      </c>
      <c r="B527" t="s">
        <v>69</v>
      </c>
      <c r="C527" s="1">
        <v>46223.185416666667</v>
      </c>
    </row>
    <row r="528" spans="1:3" hidden="1">
      <c r="A528" t="s">
        <v>200</v>
      </c>
      <c r="B528" t="s">
        <v>33</v>
      </c>
      <c r="C528" s="1">
        <v>46223.177777777775</v>
      </c>
    </row>
    <row r="529" spans="1:3">
      <c r="A529" t="s">
        <v>164</v>
      </c>
      <c r="B529" t="s">
        <v>69</v>
      </c>
      <c r="C529" s="1">
        <v>46223.19027777778</v>
      </c>
    </row>
    <row r="530" spans="1:3">
      <c r="A530" t="s">
        <v>75</v>
      </c>
      <c r="B530" t="s">
        <v>69</v>
      </c>
      <c r="C530" s="1">
        <v>46223.193055555559</v>
      </c>
    </row>
    <row r="531" spans="1:3" hidden="1">
      <c r="A531" t="s">
        <v>28</v>
      </c>
      <c r="B531" t="s">
        <v>4</v>
      </c>
      <c r="C531" s="1">
        <v>46223.166666666664</v>
      </c>
    </row>
    <row r="532" spans="1:3" hidden="1">
      <c r="A532" t="s">
        <v>174</v>
      </c>
      <c r="B532" t="s">
        <v>4</v>
      </c>
      <c r="C532" s="1">
        <v>46223.164583333331</v>
      </c>
    </row>
    <row r="533" spans="1:3">
      <c r="A533" t="s">
        <v>77</v>
      </c>
      <c r="B533" t="s">
        <v>69</v>
      </c>
      <c r="C533" s="1">
        <v>46223.189583333333</v>
      </c>
    </row>
    <row r="534" spans="1:3" hidden="1">
      <c r="A534" t="s">
        <v>110</v>
      </c>
      <c r="B534" t="s">
        <v>33</v>
      </c>
      <c r="C534" s="1">
        <v>46223.174305555556</v>
      </c>
    </row>
    <row r="535" spans="1:3" hidden="1">
      <c r="A535" t="s">
        <v>31</v>
      </c>
      <c r="B535" t="s">
        <v>4</v>
      </c>
      <c r="C535" s="1">
        <v>46223.168055555558</v>
      </c>
    </row>
    <row r="536" spans="1:3" hidden="1">
      <c r="A536" t="s">
        <v>34</v>
      </c>
      <c r="B536" t="s">
        <v>6</v>
      </c>
      <c r="C536" s="1">
        <v>46223.168055555558</v>
      </c>
    </row>
    <row r="537" spans="1:3" hidden="1">
      <c r="A537" t="s">
        <v>147</v>
      </c>
      <c r="B537" t="s">
        <v>36</v>
      </c>
      <c r="C537" s="1">
        <v>46223.205555555556</v>
      </c>
    </row>
    <row r="538" spans="1:3" hidden="1">
      <c r="A538" t="s">
        <v>183</v>
      </c>
      <c r="B538" t="s">
        <v>33</v>
      </c>
      <c r="C538" s="1">
        <v>46223.1875</v>
      </c>
    </row>
    <row r="539" spans="1:3" hidden="1">
      <c r="A539" t="s">
        <v>168</v>
      </c>
      <c r="B539" t="s">
        <v>33</v>
      </c>
      <c r="C539" s="1">
        <v>46223.191666666666</v>
      </c>
    </row>
    <row r="540" spans="1:3" hidden="1">
      <c r="A540" t="s">
        <v>201</v>
      </c>
      <c r="B540" t="s">
        <v>4</v>
      </c>
      <c r="C540" s="1">
        <v>46223.177083333336</v>
      </c>
    </row>
    <row r="541" spans="1:3" hidden="1">
      <c r="A541" t="s">
        <v>128</v>
      </c>
      <c r="B541" t="s">
        <v>33</v>
      </c>
      <c r="C541" s="1">
        <v>46223.168749999997</v>
      </c>
    </row>
    <row r="542" spans="1:3" hidden="1">
      <c r="A542" t="s">
        <v>14</v>
      </c>
      <c r="B542" t="s">
        <v>6</v>
      </c>
      <c r="C542" s="1">
        <v>46223.156944444447</v>
      </c>
    </row>
    <row r="543" spans="1:3" hidden="1">
      <c r="A543" t="s">
        <v>39</v>
      </c>
      <c r="B543" t="s">
        <v>36</v>
      </c>
      <c r="C543" s="1">
        <v>46223.202777777777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funnel_events_sample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S0372184</cp:lastModifiedBy>
  <dcterms:created xsi:type="dcterms:W3CDTF">2026-07-26T05:22:44Z</dcterms:created>
  <dcterms:modified xsi:type="dcterms:W3CDTF">2026-07-27T01:25:51Z</dcterms:modified>
</cp:coreProperties>
</file>